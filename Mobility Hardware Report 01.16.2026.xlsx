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mobileusa-my.sharepoint.com/personal/george_gewinner_t-mobile_com/Documents/Desktop/GitHub/AE Inventory/"/>
    </mc:Choice>
  </mc:AlternateContent>
  <xr:revisionPtr revIDLastSave="0" documentId="8_{AE5BB182-6C62-4256-BA53-27F22B30AF4B}" xr6:coauthVersionLast="47" xr6:coauthVersionMax="47" xr10:uidLastSave="{00000000-0000-0000-0000-000000000000}"/>
  <bookViews>
    <workbookView xWindow="-108" yWindow="-108" windowWidth="23256" windowHeight="13896" xr2:uid="{F824A26B-9877-438A-A25E-6200FC2FAFD0}"/>
  </bookViews>
  <sheets>
    <sheet name="Report" sheetId="1" r:id="rId1"/>
    <sheet name="AE Dispose List" sheetId="5" state="hidden" r:id="rId2"/>
  </sheets>
  <definedNames>
    <definedName name="_xlnm._FilterDatabase" localSheetId="1" hidden="1">'AE Dispose List'!$A$1:$H$59</definedName>
    <definedName name="_xlnm._FilterDatabase" localSheetId="0" hidden="1">Report!$A$10:$T$98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O42" i="1"/>
  <c r="O34" i="1"/>
  <c r="G13" i="1" l="1"/>
  <c r="G14" i="1"/>
  <c r="G16" i="1"/>
  <c r="G17" i="1"/>
  <c r="G20" i="1"/>
  <c r="G23" i="1"/>
  <c r="G24" i="1"/>
  <c r="G26" i="1"/>
  <c r="G28" i="1"/>
  <c r="G29" i="1"/>
  <c r="G30" i="1"/>
  <c r="G31" i="1"/>
  <c r="G32" i="1"/>
  <c r="G33" i="1"/>
  <c r="G46" i="1"/>
  <c r="G47" i="1"/>
  <c r="G48" i="1"/>
  <c r="G49" i="1"/>
  <c r="G50" i="1"/>
  <c r="G51" i="1"/>
  <c r="G52" i="1"/>
  <c r="G53" i="1"/>
  <c r="G54" i="1"/>
  <c r="G55" i="1"/>
  <c r="G60" i="1"/>
  <c r="G61" i="1"/>
  <c r="G63" i="1"/>
  <c r="G64" i="1"/>
  <c r="G66" i="1"/>
  <c r="G67" i="1"/>
  <c r="G70" i="1"/>
  <c r="G71" i="1"/>
  <c r="G72" i="1"/>
  <c r="G73" i="1"/>
  <c r="G74" i="1"/>
  <c r="G75" i="1"/>
  <c r="G76" i="1"/>
  <c r="G77" i="1"/>
  <c r="G89" i="1"/>
  <c r="G90" i="1"/>
  <c r="G91" i="1"/>
  <c r="G92" i="1"/>
  <c r="G93" i="1"/>
  <c r="G96" i="1"/>
  <c r="G97" i="1"/>
  <c r="G98" i="1"/>
  <c r="G11" i="1"/>
  <c r="G15" i="1"/>
  <c r="G19" i="1"/>
  <c r="G35" i="1"/>
  <c r="G36" i="1"/>
  <c r="G37" i="1"/>
  <c r="G41" i="1"/>
  <c r="G57" i="1"/>
  <c r="G58" i="1"/>
  <c r="G59" i="1"/>
  <c r="G79" i="1"/>
  <c r="G80" i="1"/>
  <c r="G81" i="1"/>
  <c r="G86" i="1"/>
  <c r="G94" i="1"/>
  <c r="G95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G88" i="1"/>
  <c r="G87" i="1"/>
  <c r="G85" i="1"/>
  <c r="G84" i="1"/>
  <c r="G83" i="1"/>
  <c r="G82" i="1"/>
  <c r="G78" i="1"/>
  <c r="G69" i="1"/>
  <c r="G68" i="1"/>
  <c r="G65" i="1"/>
  <c r="G62" i="1"/>
  <c r="G56" i="1"/>
  <c r="G45" i="1"/>
  <c r="G44" i="1"/>
  <c r="G43" i="1"/>
  <c r="G42" i="1"/>
  <c r="G40" i="1"/>
  <c r="G39" i="1"/>
  <c r="G38" i="1"/>
  <c r="G34" i="1"/>
  <c r="G27" i="1"/>
  <c r="G25" i="1"/>
  <c r="G22" i="1"/>
  <c r="G21" i="1"/>
  <c r="G18" i="1"/>
  <c r="G12" i="1"/>
  <c r="H11" i="1" l="1"/>
</calcChain>
</file>

<file path=xl/sharedStrings.xml><?xml version="1.0" encoding="utf-8"?>
<sst xmlns="http://schemas.openxmlformats.org/spreadsheetml/2006/main" count="985" uniqueCount="328">
  <si>
    <t>Prosys has not been asked to procure yet</t>
  </si>
  <si>
    <t>NA</t>
  </si>
  <si>
    <t>Charger Dock</t>
  </si>
  <si>
    <t>RUGGED CASE FOR LP7I IN GRAY/BLACK COMBO</t>
  </si>
  <si>
    <t>CS-LP7IF</t>
  </si>
  <si>
    <t>Infinite Peripherals</t>
  </si>
  <si>
    <t>Scanner Case</t>
  </si>
  <si>
    <t>LINEA PRO 7 INDUSTRIAL 2D</t>
  </si>
  <si>
    <t>Scanner</t>
  </si>
  <si>
    <t>IPHONE SE 64GB BLK SIM</t>
  </si>
  <si>
    <t>MX9N2LL/A</t>
  </si>
  <si>
    <t>Apple</t>
  </si>
  <si>
    <t>MOPHIE-REMO-MAGNETIC BELT CLIP- MOBY8500 - BLACK-TMOBILE GEN 2</t>
  </si>
  <si>
    <t>Mophie</t>
  </si>
  <si>
    <t>Belt Clip</t>
  </si>
  <si>
    <t>MOPHIE-CASES-REMO-APPLE-IPAD PRO 11 (2020) BLACK- T-MOBILE LOGO</t>
  </si>
  <si>
    <t>MOBY MPD CASE REMO</t>
  </si>
  <si>
    <t>MPD Case</t>
  </si>
  <si>
    <t>MOBY8500 MPOS READER</t>
  </si>
  <si>
    <t>P8F506-09215A</t>
  </si>
  <si>
    <t>Ingenico</t>
  </si>
  <si>
    <t>Safety Pool</t>
  </si>
  <si>
    <t>New/Remodel Pool</t>
  </si>
  <si>
    <t>Deployment Pool</t>
  </si>
  <si>
    <t>Depot Pool</t>
  </si>
  <si>
    <t>Total Count</t>
  </si>
  <si>
    <t>Description</t>
  </si>
  <si>
    <t>MFR</t>
  </si>
  <si>
    <t>Device</t>
  </si>
  <si>
    <t>Definition</t>
  </si>
  <si>
    <t xml:space="preserve">APPLE 10.5-INCH IPAD AIR WI-FI - 3RD GENERATION - TABLET </t>
  </si>
  <si>
    <t>Pool Type</t>
  </si>
  <si>
    <t>Depot stock held at A/E vendor specifically designated for A/E use</t>
  </si>
  <si>
    <t>Date Vendor Stock Received</t>
  </si>
  <si>
    <t>Vendor Owned</t>
  </si>
  <si>
    <t>All unallocated/available material in T-Mobile customer owned BINs - Managed by Kyle Thompson</t>
  </si>
  <si>
    <t>Refurbished Pool</t>
  </si>
  <si>
    <t>On Hand</t>
  </si>
  <si>
    <t>On Order</t>
  </si>
  <si>
    <t>Material requested to order by T-Mobile but not billed to T-Mobile yet</t>
  </si>
  <si>
    <t>Decomm stock that is functioning and can be re-used</t>
  </si>
  <si>
    <t xml:space="preserve">Stock returned from Decomms - functioning and deemed usable </t>
  </si>
  <si>
    <t>REMO Kit</t>
  </si>
  <si>
    <t>iPad Case Gen2</t>
  </si>
  <si>
    <t>iPad Case Gen1</t>
  </si>
  <si>
    <t>REMO Accessory</t>
  </si>
  <si>
    <t>Stylus</t>
  </si>
  <si>
    <t>Tech Sling</t>
  </si>
  <si>
    <t>Fanny Pack</t>
  </si>
  <si>
    <t>TIMO Kit</t>
  </si>
  <si>
    <t>HC Bundle</t>
  </si>
  <si>
    <t>iPad Cable</t>
  </si>
  <si>
    <t>MPD Cable</t>
  </si>
  <si>
    <t>SSR</t>
  </si>
  <si>
    <t>Kit</t>
  </si>
  <si>
    <t>Trims Unlimited</t>
  </si>
  <si>
    <t>CUSTOM T-MOBILE STYLUS PEN</t>
  </si>
  <si>
    <t>MY332LL/A</t>
  </si>
  <si>
    <r>
      <t>IPAD PRO 11IN 128GB CELL GRAY + (</t>
    </r>
    <r>
      <rPr>
        <sz val="11"/>
        <color theme="1"/>
        <rFont val="Calibri"/>
        <family val="2"/>
      </rPr>
      <t>M</t>
    </r>
    <r>
      <rPr>
        <sz val="11"/>
        <color rgb="FF000000"/>
        <rFont val="Calibri"/>
        <family val="2"/>
      </rPr>
      <t xml:space="preserve">isc </t>
    </r>
    <r>
      <rPr>
        <sz val="11"/>
        <color theme="1"/>
        <rFont val="Calibri"/>
        <family val="2"/>
      </rPr>
      <t>SKUs</t>
    </r>
    <r>
      <rPr>
        <sz val="11"/>
        <color rgb="FF000000"/>
        <rFont val="Calibri"/>
        <family val="2"/>
      </rPr>
      <t xml:space="preserve"> in Safety stock &amp; depot pool)</t>
    </r>
  </si>
  <si>
    <t>STYLUS02-1</t>
  </si>
  <si>
    <t>iPad Gen1</t>
  </si>
  <si>
    <t>iPad Gen2</t>
  </si>
  <si>
    <t>iPad Gen3</t>
  </si>
  <si>
    <t>iPad Case Gen3</t>
  </si>
  <si>
    <t>APPLE 11-INCH IPAD PRO WI-FI   CELLULAR - TABLET - 256 GB-11" IPS (238 X 1668)-4G-LTE-SPACE</t>
  </si>
  <si>
    <t>MOPHIE-CASES-REMO-APPLE-IPAD PRO 11 (2021) BLACK W KICKSTAND - T-MOBILE LOGO</t>
  </si>
  <si>
    <t>IPAD PRO 11 WF CL 128GB GRY-USA</t>
  </si>
  <si>
    <t>MU162LL/A</t>
  </si>
  <si>
    <t>MHMT3LL/A</t>
  </si>
  <si>
    <t>TMCABINET</t>
  </si>
  <si>
    <t>Bretford</t>
  </si>
  <si>
    <t>Bretford Health Charger Cabinet</t>
  </si>
  <si>
    <t>Bretford Health Charger Drawer</t>
  </si>
  <si>
    <t>TMDRAWER8PRO11</t>
  </si>
  <si>
    <t>iPad Charging Cable</t>
  </si>
  <si>
    <t>TMUSBC-PRO</t>
  </si>
  <si>
    <t>Bretford Health Charger Cart</t>
  </si>
  <si>
    <t>TMCART-PRO</t>
  </si>
  <si>
    <t>MPD Charging Cable</t>
  </si>
  <si>
    <t>TMMICRO-REMO</t>
  </si>
  <si>
    <t>Cabinet Gen 1</t>
  </si>
  <si>
    <t>Rolling Cart Gen 1</t>
  </si>
  <si>
    <t>Cabinet Gen 2</t>
  </si>
  <si>
    <t>iPad Cable Gen 2</t>
  </si>
  <si>
    <t>CDC</t>
  </si>
  <si>
    <t>CDC Full Kit</t>
  </si>
  <si>
    <t>RASPPI3B+</t>
  </si>
  <si>
    <t>RASPPIOLED</t>
  </si>
  <si>
    <t>RASPPISMOKEBASE</t>
  </si>
  <si>
    <t>RASPPIPS5V</t>
  </si>
  <si>
    <t>SDCS2/32GB</t>
  </si>
  <si>
    <t>Cable x2 - 28103</t>
  </si>
  <si>
    <t>Rolling Cart Gen 2</t>
  </si>
  <si>
    <t>Drawer JB554-CW1820</t>
  </si>
  <si>
    <t>Drawer T441-7-CW1616</t>
  </si>
  <si>
    <t>Cable - 15189</t>
  </si>
  <si>
    <t>TMPSPCAB</t>
  </si>
  <si>
    <t>BRETFORD : PS PRO CABINET, GEN 2, T-MOBILE</t>
  </si>
  <si>
    <t>CAB-MICRO10</t>
  </si>
  <si>
    <t>10 PACK OF CABLES FOR INGENICO MPD</t>
  </si>
  <si>
    <t>MK663LL/A</t>
  </si>
  <si>
    <t>10.2-INCH IPAD WI-FI   CELLULAR 64GB - SPACE GRAY 9TH GEN</t>
  </si>
  <si>
    <t>BRETFORD : PS Pro Cart, Gen 2, T-Mobile</t>
  </si>
  <si>
    <t>TMPSPCART</t>
  </si>
  <si>
    <t>iPad Gen4</t>
  </si>
  <si>
    <t>MP553LL/A</t>
  </si>
  <si>
    <t>11IN IPAD PRO WLS CELL 128GB SPACE GRAY 2022 RELEASE</t>
  </si>
  <si>
    <t>Prosys Device Type</t>
  </si>
  <si>
    <t>MPD</t>
  </si>
  <si>
    <t>iPad Pro 11in Gen1</t>
  </si>
  <si>
    <t>iPad Pro 11in Gen2</t>
  </si>
  <si>
    <t>iPad Pro 11in Gen3</t>
  </si>
  <si>
    <t>iPad Pro 11in Gen4</t>
  </si>
  <si>
    <t>iPad Pro 11in Case Gen 1</t>
  </si>
  <si>
    <t>iPad Pro 11in Case Gen 2</t>
  </si>
  <si>
    <t>iPad Pro 11in Case Gen 3</t>
  </si>
  <si>
    <t>iPhone SE Gen2</t>
  </si>
  <si>
    <t>iPad Cable Gen 1</t>
  </si>
  <si>
    <t>MPD Cable Gen 1</t>
  </si>
  <si>
    <t>SSR iPad Air 10.5in</t>
  </si>
  <si>
    <t xml:space="preserve">Golden Stock - reserved for emergent needs in Depot, Deployment or New/Remodel Pool. Does NOT include Event BIN or Trainer BIN material. </t>
  </si>
  <si>
    <t>PSLP1-BAT1-LP7IF</t>
  </si>
  <si>
    <t>LINEA  PRO 7 CHARGER WITH SPARE BATTERY CHARGER</t>
  </si>
  <si>
    <t>APPLE MAC MINI MRTT2LL/A 3.0GHZ INTEL CORE I5 256GB SSD 8GB RAM - SPACE GRAY - 2018</t>
  </si>
  <si>
    <t>MRTT2LL/A</t>
  </si>
  <si>
    <t>HSI iPad Gen 9</t>
  </si>
  <si>
    <t>Device Wizard</t>
  </si>
  <si>
    <t>Dell Headless PC 7080</t>
  </si>
  <si>
    <t>Dell Headless PC 7090</t>
  </si>
  <si>
    <t>Dell Headless PC 7000</t>
  </si>
  <si>
    <t>Power strip</t>
  </si>
  <si>
    <t>cat5 cables</t>
  </si>
  <si>
    <t>Velcro</t>
  </si>
  <si>
    <t>TLP606B</t>
  </si>
  <si>
    <t>P350-10N-10</t>
  </si>
  <si>
    <t>MCG-24633</t>
  </si>
  <si>
    <t>Desktop Gen1</t>
  </si>
  <si>
    <t>Desktop Gen2</t>
  </si>
  <si>
    <t>Desktop Gen3</t>
  </si>
  <si>
    <t>210-AVLL</t>
  </si>
  <si>
    <t>210-AYVH</t>
  </si>
  <si>
    <t>210-BDEJ</t>
  </si>
  <si>
    <t>Dell</t>
  </si>
  <si>
    <t>OPTIPLEX 7080 MFF XCTO</t>
  </si>
  <si>
    <t>OPTIPLEX 7090 MICRO</t>
  </si>
  <si>
    <t>OPTIPLEX 7000 MICRO</t>
  </si>
  <si>
    <t>MCE</t>
  </si>
  <si>
    <t>MCE HUB KIT INCLUDES:1X MCE HUB, 1X MCE HUB POWER ADAPTER, 1X HUB TO PC CABLE - TRIFECTA</t>
  </si>
  <si>
    <t>Device Wizard - CHARGE CABLE - 18IN USB 3-IN-1 TO USB-A TPE BLA</t>
  </si>
  <si>
    <t>MCG</t>
  </si>
  <si>
    <t>Tripp Lite</t>
  </si>
  <si>
    <t>Ortronics</t>
  </si>
  <si>
    <t>OR-570-110-015</t>
  </si>
  <si>
    <t>Tripp Lite 10in Hook and Loop Velcro Cable Management Ties 10-pack 10pc 10" - Cable tie - 9.8 in - black</t>
  </si>
  <si>
    <t>6 WAY POWER STRIP</t>
  </si>
  <si>
    <t xml:space="preserve">3FT CAT5E 350MHZ BTD PATCH CBL </t>
  </si>
  <si>
    <t xml:space="preserve">15FT CAT5E 350MHZ BTD PATCH CBL </t>
  </si>
  <si>
    <t>MPD Battery</t>
  </si>
  <si>
    <t>PC02000163</t>
  </si>
  <si>
    <t>PC02000163 - MPD REPLACEMENT BATTERY</t>
  </si>
  <si>
    <t>USB-C Cable - USB 3.0</t>
  </si>
  <si>
    <t>APL-2 (Apple lightning)</t>
  </si>
  <si>
    <t>MINI-3 Micro-USB Cable</t>
  </si>
  <si>
    <t>Replacement 3in1 Cable</t>
  </si>
  <si>
    <t>OR-570-110-003</t>
  </si>
  <si>
    <t>iPhone SE V3</t>
  </si>
  <si>
    <t>iPhone SE V2</t>
  </si>
  <si>
    <t>iPhone 8</t>
  </si>
  <si>
    <t>L-Comm</t>
  </si>
  <si>
    <t>CAPUSB-A</t>
  </si>
  <si>
    <t>USB Protective Cover for Type A Jacks, Package of 10</t>
  </si>
  <si>
    <t>iPhone SE Gen3</t>
  </si>
  <si>
    <t>MQ6Y2LL/A</t>
  </si>
  <si>
    <t xml:space="preserve">iPhone 8 64GB </t>
  </si>
  <si>
    <t>MMX53LL/A</t>
  </si>
  <si>
    <t>Mac Mini M2</t>
  </si>
  <si>
    <t>Mac Mini 2020</t>
  </si>
  <si>
    <t>Mac Mini 2018</t>
  </si>
  <si>
    <t>Z16K000R8</t>
  </si>
  <si>
    <t>CTO MAC MINI M2 8C 10G 16GB 512GB - Gigabit Ethernet</t>
  </si>
  <si>
    <t>APPLE MAC MINI M1 Chip (8GB RAM, 256GB SSD Storage) - 2020</t>
  </si>
  <si>
    <t>MGNR3LL/A</t>
  </si>
  <si>
    <t>SSR Tablet iPad Air G3</t>
  </si>
  <si>
    <t>MPD CL2</t>
  </si>
  <si>
    <t>MOBY85-USPIS09A</t>
  </si>
  <si>
    <t>MOBY85-USPIS09A PROD MOBY/8500 CL2 DEVICE</t>
  </si>
  <si>
    <t>Desktop Gen4</t>
  </si>
  <si>
    <t>210-BFXT</t>
  </si>
  <si>
    <t>OptiPlex Micro (Plus 7010)</t>
  </si>
  <si>
    <t>Dell Headless PC 7010</t>
  </si>
  <si>
    <t>Gen 1 2-Drawer Cart</t>
  </si>
  <si>
    <t>Gen 2 2-Drawer Cart</t>
  </si>
  <si>
    <t>Gen 1 3-Drawer Cart</t>
  </si>
  <si>
    <t>Gen 2 3-drawer Cart</t>
  </si>
  <si>
    <t>TMPSPCART-3SHLF</t>
  </si>
  <si>
    <t xml:space="preserve">BRETFORD : PS Pro Cart, Gen 2, 3-shelf </t>
  </si>
  <si>
    <t>Rolling Cart 3-Drawer Gen 1</t>
  </si>
  <si>
    <t>Rolling Cart 3-Drawer Gen 2</t>
  </si>
  <si>
    <t>Gen 2 Cabinet</t>
  </si>
  <si>
    <t>Gen 1 HC</t>
  </si>
  <si>
    <t>Gen 2 HC</t>
  </si>
  <si>
    <t>HSI/SSR iPad 10.2in</t>
  </si>
  <si>
    <t>TMPSPT20L</t>
  </si>
  <si>
    <t>BRETFORD : PS Pro Gen 2 Smart Hub 20L, T-Mobile Includes:QTY 1 - TMCAB-USB72, QTY 1 - TMCAB-USB72-BC</t>
  </si>
  <si>
    <t>USB port covers</t>
  </si>
  <si>
    <t>FLM Kit</t>
  </si>
  <si>
    <t>FLM Keyboard Case Gen 2</t>
  </si>
  <si>
    <t>FLM Folio</t>
  </si>
  <si>
    <t>Apple Smart - keyboard and folio case - English</t>
  </si>
  <si>
    <t>MXNK2LL/A</t>
  </si>
  <si>
    <t>IPHONE SE 64GB MIDNIGHT</t>
  </si>
  <si>
    <t>Thin Client</t>
  </si>
  <si>
    <t>Keyboard &amp; Mouse</t>
  </si>
  <si>
    <t>Monitor</t>
  </si>
  <si>
    <t>LOGITECH</t>
  </si>
  <si>
    <t>WYSE 5070 THIN CLIENT</t>
  </si>
  <si>
    <t>LOGITECH MX KEYS COMBO FOR BUSINESS KEYBOARD &amp; MOUSE - USB WIRELESS BLUETOOTH KEYBOARD - USB WIRELES</t>
  </si>
  <si>
    <t>22" USB-C MONITOR 54.6CM (21.5") - INCLUDES 3YR WARRANTY</t>
  </si>
  <si>
    <t>920-010923</t>
  </si>
  <si>
    <t>P2223HC</t>
  </si>
  <si>
    <t>OR-576-135-005</t>
  </si>
  <si>
    <t>OR-576-135-010</t>
  </si>
  <si>
    <t>Cable</t>
  </si>
  <si>
    <t>USB-A to USB-C Adapter</t>
  </si>
  <si>
    <t>ORTRONICS</t>
  </si>
  <si>
    <t>3/4 in. Black Lineal VELCRO® Brand ONE-WRAP® on 25YD rolls</t>
  </si>
  <si>
    <t>TRIPP LITE USB-C TO USB-A ADAPTER (F/M), USB 3.2 GEN 2 (10 GBPS) - USB ADAPTER - 24 PIN USB-C (F) TO</t>
  </si>
  <si>
    <t>5FT CAT6 BTD PATCH cable Black</t>
  </si>
  <si>
    <t>10FT CAT6 BTD PATCH  cable Black</t>
  </si>
  <si>
    <t>U329-000-10G</t>
  </si>
  <si>
    <t>Comments/Repairs Processing</t>
  </si>
  <si>
    <t>C2G</t>
  </si>
  <si>
    <t>MCE USB-C 2.0 CABLE 60CM</t>
  </si>
  <si>
    <t>VeriFone</t>
  </si>
  <si>
    <t>M194-064-03-NAB-6</t>
  </si>
  <si>
    <t>E235, NA, WW 4G, WIFI AC/BT/USB WITH MFI, NO PSU, 512/512MB, NO PTID, EBS 100, PCI 6.1 - BLACK</t>
  </si>
  <si>
    <t>MPD Case Gen 2</t>
  </si>
  <si>
    <t>MPD E235</t>
  </si>
  <si>
    <t>MOPHIE E235 CASE FOR T-MOBILE MPOS DEVICE</t>
  </si>
  <si>
    <t>YubiKey</t>
  </si>
  <si>
    <t>Yubico</t>
  </si>
  <si>
    <t>SECURITY KEY C NFC BLACK BY YUBICO - USB-C, INDIVIDUAL BLISTER PACKAGING. FIRMWARE 5.7</t>
  </si>
  <si>
    <t>MOPHIE-CASES-REMO-APPLE-IPAD PRO 11</t>
  </si>
  <si>
    <t>LP7I-ZS2D-PHSE</t>
  </si>
  <si>
    <t>DELL 22 MONITOR - P2225H</t>
  </si>
  <si>
    <t>10FT C2G DISPLAYPORT CABLE M/M BLK</t>
  </si>
  <si>
    <t>10ft Displayport Cable</t>
  </si>
  <si>
    <t>210-BKXM</t>
  </si>
  <si>
    <t>Desktop Gen5</t>
  </si>
  <si>
    <t>Dell Headless PC 7020</t>
  </si>
  <si>
    <t>OPTIPLEX MICRO FORM FACTOR (7020)</t>
  </si>
  <si>
    <t>CABLE APPLE LIGHTNING APL-2 - 60CM</t>
  </si>
  <si>
    <t>iPad Gen5</t>
  </si>
  <si>
    <t>iPad Air Gen4</t>
  </si>
  <si>
    <t>iPad Case Gen4</t>
  </si>
  <si>
    <t>MUXH3LL/A</t>
  </si>
  <si>
    <t>11-inch iPad Air (M2) Wi-Fi + Cellular 256GB - Space Gray</t>
  </si>
  <si>
    <t>Mobile point of sale case made for iPad Pro 11" (Gen 1-4)/Air 11" M2, T-Mobile Logo</t>
  </si>
  <si>
    <t>MCG04LL/A</t>
  </si>
  <si>
    <t>iPad Gen6</t>
  </si>
  <si>
    <t>iPad Air Gen5</t>
  </si>
  <si>
    <t>11-INCH IPAD AIR (M3) WI-FI   CELLULAR 256GB - SPACE GRAY</t>
  </si>
  <si>
    <t>210-BCIJ</t>
  </si>
  <si>
    <t>OptiPlex 3000 Thin Client</t>
  </si>
  <si>
    <t>iPhone 16</t>
  </si>
  <si>
    <t>MYAP3LL/A</t>
  </si>
  <si>
    <t>LPR-ZS2D-PH6</t>
  </si>
  <si>
    <t>Linea Pro Rugged with Zebra SR 2D, for iPhone 16</t>
  </si>
  <si>
    <t>Comment</t>
  </si>
  <si>
    <t>iPad Case Gen 4</t>
  </si>
  <si>
    <t>Cabot warehouse AE usable stock - should have 1 month of stock in AE</t>
  </si>
  <si>
    <t>Product assigned to project, new stores, or remodels</t>
  </si>
  <si>
    <t>Gen 1 Cabinet</t>
  </si>
  <si>
    <t>USB HUBs</t>
  </si>
  <si>
    <t>3-in-1 Cables</t>
  </si>
  <si>
    <t>single cables</t>
  </si>
  <si>
    <t>MUUQ2LL/A </t>
  </si>
  <si>
    <t>Part#</t>
  </si>
  <si>
    <t>817-BBBB</t>
  </si>
  <si>
    <t>IPHONE 16 128GB  BLACK</t>
  </si>
  <si>
    <t>Scanner V2</t>
  </si>
  <si>
    <t>Scanner Case V2</t>
  </si>
  <si>
    <t>Charger Dock V2</t>
  </si>
  <si>
    <t>PSLP1-LPR1516F</t>
  </si>
  <si>
    <t>Single Unit Charger for LPR 15/16 with Flex
Case</t>
  </si>
  <si>
    <t>CS-LPR1516-TMO</t>
  </si>
  <si>
    <t>Custom Case for Linea Pro Rugged for iPhone
15/16, with handstrap + lanyard</t>
  </si>
  <si>
    <t>Metronet</t>
  </si>
  <si>
    <t>77-95220</t>
  </si>
  <si>
    <t>Otterbox</t>
  </si>
  <si>
    <t>iPad Case M3</t>
  </si>
  <si>
    <t>OtterBox Defender Case Blk 11" for iPad</t>
  </si>
  <si>
    <t>Dispose? Y/N</t>
  </si>
  <si>
    <t>Y</t>
  </si>
  <si>
    <t>No longer used, switched over to VeriFone</t>
  </si>
  <si>
    <t>No longer used, Gen3s or Gen4s being used for AE tickets</t>
  </si>
  <si>
    <t>No longer used in AE</t>
  </si>
  <si>
    <t>MUUQ2LL/A</t>
  </si>
  <si>
    <t>SECURITY KEY C NFC Black</t>
  </si>
  <si>
    <t>CARE Kit</t>
  </si>
  <si>
    <t>N</t>
  </si>
  <si>
    <t>No longer used</t>
  </si>
  <si>
    <t>210-BLXJ</t>
  </si>
  <si>
    <t>USB HUB</t>
  </si>
  <si>
    <t>3-in-1 Cable</t>
  </si>
  <si>
    <t>Replacement 3in1 Cable USB-C</t>
  </si>
  <si>
    <t>Replacement 3in1 Cable Lightning</t>
  </si>
  <si>
    <t>Replacement 3in1 Cable Micro-USB</t>
  </si>
  <si>
    <t>Replacement 3in1 Cable USB-C V2</t>
  </si>
  <si>
    <t>Replacement 3in1 Cable Lightning V2</t>
  </si>
  <si>
    <t>15ft Cable</t>
  </si>
  <si>
    <t>3ft Cable</t>
  </si>
  <si>
    <t>TBD</t>
  </si>
  <si>
    <t>Thin Client Gen2</t>
  </si>
  <si>
    <t>22in Monitor</t>
  </si>
  <si>
    <t>22in Monitor Gen2</t>
  </si>
  <si>
    <t>CARE Velcro</t>
  </si>
  <si>
    <t>5ft Cable</t>
  </si>
  <si>
    <t>10ft Cable</t>
  </si>
  <si>
    <t>C NFC</t>
  </si>
  <si>
    <t>Computacenter Definition</t>
  </si>
  <si>
    <t>Stock moving through Computacenter or Connection that has been assigned a final store destination</t>
  </si>
  <si>
    <t>Material assigned &amp; in process at Computacenter not but shipped out yet</t>
  </si>
  <si>
    <t>Stock moving through Computacenter or Connection that has been assigned a final store destination. Future commitment</t>
  </si>
  <si>
    <t>Stock at Computacenter but not billed to T-Mobile yet</t>
  </si>
  <si>
    <t>Computacenter Device Type</t>
  </si>
  <si>
    <t>Computacenter has not been asked to procure yet</t>
  </si>
  <si>
    <t>2k from Safety Stock shipped to VeriFone for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</si>
</sst>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93E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9" fillId="0" borderId="0"/>
    <xf numFmtId="9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1" fillId="20" borderId="27" applyNumberFormat="0" applyFont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5" fillId="0" borderId="22" applyNumberFormat="0" applyFill="0" applyAlignment="0" applyProtection="0"/>
    <xf numFmtId="0" fontId="15" fillId="0" borderId="0" applyNumberFormat="0" applyFill="0" applyBorder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23" applyNumberFormat="0" applyAlignment="0" applyProtection="0"/>
    <xf numFmtId="0" fontId="20" fillId="18" borderId="24" applyNumberFormat="0" applyAlignment="0" applyProtection="0"/>
    <xf numFmtId="0" fontId="21" fillId="18" borderId="23" applyNumberFormat="0" applyAlignment="0" applyProtection="0"/>
    <xf numFmtId="0" fontId="22" fillId="0" borderId="25" applyNumberFormat="0" applyFill="0" applyAlignment="0" applyProtection="0"/>
    <xf numFmtId="0" fontId="23" fillId="19" borderId="26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28" applyNumberFormat="0" applyFill="0" applyAlignment="0" applyProtection="0"/>
    <xf numFmtId="0" fontId="26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26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26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26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26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26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0" fillId="0" borderId="0"/>
  </cellStyleXfs>
  <cellXfs count="8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3" fillId="3" borderId="9" xfId="0" applyFont="1" applyFill="1" applyBorder="1"/>
    <xf numFmtId="0" fontId="0" fillId="3" borderId="12" xfId="0" applyFill="1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5" fillId="0" borderId="5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1" fillId="0" borderId="5" xfId="0" applyNumberFormat="1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4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9" xfId="0" applyFont="1" applyFill="1" applyBorder="1" applyAlignment="1">
      <alignment horizontal="center" vertical="center"/>
    </xf>
    <xf numFmtId="0" fontId="0" fillId="0" borderId="19" xfId="0" applyBorder="1"/>
    <xf numFmtId="0" fontId="1" fillId="2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/>
    <xf numFmtId="49" fontId="1" fillId="0" borderId="5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0" fontId="0" fillId="0" borderId="1" xfId="0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4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5">
    <cellStyle name="20% - Accent1 2" xfId="21" xr:uid="{799B426F-83BE-4F5F-A922-4B7A3E442E11}"/>
    <cellStyle name="20% - Accent2 2" xfId="25" xr:uid="{A3DE50C2-DCE6-4454-AD48-DD35D743E53F}"/>
    <cellStyle name="20% - Accent3 2" xfId="29" xr:uid="{6005D064-5A98-4070-A0CE-BF31C7CB8FC4}"/>
    <cellStyle name="20% - Accent4 2" xfId="33" xr:uid="{8FBAD604-DE5B-42CB-837C-9D929250D45B}"/>
    <cellStyle name="20% - Accent5 2" xfId="37" xr:uid="{658C554C-55A4-454C-A2B8-19BA17549329}"/>
    <cellStyle name="20% - Accent6 2" xfId="41" xr:uid="{2D476E81-0780-4EF4-BE91-49214E9AEA35}"/>
    <cellStyle name="40% - Accent1 2" xfId="22" xr:uid="{47BF6A2B-9206-4776-BB14-A9CA368554CA}"/>
    <cellStyle name="40% - Accent2 2" xfId="26" xr:uid="{B8DC6C5A-24B7-40AA-916B-8756706F090F}"/>
    <cellStyle name="40% - Accent3 2" xfId="30" xr:uid="{C5CD0E9D-1A3E-490E-9754-AB6DEFADE5DA}"/>
    <cellStyle name="40% - Accent4 2" xfId="34" xr:uid="{69B29A88-53B3-4939-886E-6756D5375813}"/>
    <cellStyle name="40% - Accent5 2" xfId="38" xr:uid="{7DCB5DAA-515C-43BF-ACAE-26ACE4AF7CDB}"/>
    <cellStyle name="40% - Accent6 2" xfId="42" xr:uid="{216CC724-0C5C-4501-AC0D-4182078528C9}"/>
    <cellStyle name="60% - Accent1 2" xfId="23" xr:uid="{5806DD3F-8BFB-41E3-9DA5-908A64290642}"/>
    <cellStyle name="60% - Accent2 2" xfId="27" xr:uid="{D5EB6EEC-25F3-4D06-8AE2-B0E12469E056}"/>
    <cellStyle name="60% - Accent3 2" xfId="31" xr:uid="{6D434BB4-04CE-41C0-80B1-0254DD6A5B75}"/>
    <cellStyle name="60% - Accent4 2" xfId="35" xr:uid="{614EDD2E-716F-4249-9B81-7A0FF6A803A0}"/>
    <cellStyle name="60% - Accent5 2" xfId="39" xr:uid="{29903AB0-79FA-412C-A5F1-A5EFCF66B347}"/>
    <cellStyle name="60% - Accent6 2" xfId="43" xr:uid="{DF38D18E-3060-406D-8CE2-5447D5E5C22C}"/>
    <cellStyle name="Accent1 2" xfId="20" xr:uid="{5F1776C0-E975-468B-AEFA-F5E808F523A0}"/>
    <cellStyle name="Accent2 2" xfId="24" xr:uid="{9CB49666-F6D8-4EF0-8E83-439DD43F6756}"/>
    <cellStyle name="Accent3 2" xfId="28" xr:uid="{F0455633-224F-4D14-B793-D0B34F06E7DD}"/>
    <cellStyle name="Accent4 2" xfId="32" xr:uid="{1EE53E19-BE31-45B2-9E95-23D6C49C04C0}"/>
    <cellStyle name="Accent5 2" xfId="36" xr:uid="{945AF178-2D0A-4FA2-B59C-CB0A8E893E89}"/>
    <cellStyle name="Accent6 2" xfId="40" xr:uid="{C5A39650-9453-42C8-8DBF-998306E50B0A}"/>
    <cellStyle name="Bad 2" xfId="10" xr:uid="{20B4130F-1A17-4410-9CDE-742D5457A85C}"/>
    <cellStyle name="Calculation 2" xfId="14" xr:uid="{71B09773-E6C5-42B5-BAAD-AEB9BA2C92DF}"/>
    <cellStyle name="Check Cell 2" xfId="16" xr:uid="{9B150C6A-DDB1-477D-91B6-33088E345376}"/>
    <cellStyle name="Explanatory Text 2" xfId="18" xr:uid="{838F25AC-9660-4486-A331-D405BF3DFF66}"/>
    <cellStyle name="Good 2" xfId="9" xr:uid="{5232AD1F-C2AD-4269-B92E-804AE0CE59D1}"/>
    <cellStyle name="Heading 1 2" xfId="5" xr:uid="{89C3D970-B6AD-4DAA-BC35-81C8E0ABFC1E}"/>
    <cellStyle name="Heading 2 2" xfId="6" xr:uid="{48CEA96B-473F-41FB-8EA8-DDF88CE7781A}"/>
    <cellStyle name="Heading 3 2" xfId="7" xr:uid="{FC7DEFE6-1B5F-4ADC-95A5-65FAA036DC89}"/>
    <cellStyle name="Heading 4 2" xfId="8" xr:uid="{91E7D4D7-86FD-41E2-BB46-199BBA9DCCCA}"/>
    <cellStyle name="Input 2" xfId="12" xr:uid="{67C65693-B4F3-4143-974C-C0E8F6A2E8C5}"/>
    <cellStyle name="Linked Cell 2" xfId="15" xr:uid="{A529D123-04E2-445B-BD50-271C16D8B30C}"/>
    <cellStyle name="Neutral 2" xfId="11" xr:uid="{F2530269-B013-4983-9209-09DDA84012AD}"/>
    <cellStyle name="Normal" xfId="0" builtinId="0"/>
    <cellStyle name="Normal 2" xfId="1" xr:uid="{897CDDAF-8F5F-4B7E-A2AB-B7A3E56D27CF}"/>
    <cellStyle name="Normal 2 2" xfId="44" xr:uid="{F1165B2D-AB3F-42E9-BE52-AF5C74A5A62E}"/>
    <cellStyle name="Note" xfId="4" builtinId="10" customBuiltin="1"/>
    <cellStyle name="Output 2" xfId="13" xr:uid="{6399500A-26BA-44A5-8D44-ECB55B36AACF}"/>
    <cellStyle name="Percent 2" xfId="2" xr:uid="{C067D1C4-46C5-4E99-AAE1-DCBDC32575DA}"/>
    <cellStyle name="Title" xfId="3" builtinId="15" customBuiltin="1"/>
    <cellStyle name="Total 2" xfId="19" xr:uid="{E8C67641-5EAB-42B3-898F-C853C0E07BF4}"/>
    <cellStyle name="Warning Text 2" xfId="17" xr:uid="{82451B2F-9BCC-49AD-B116-CBFA2D4F62AE}"/>
  </cellStyles>
  <dxfs count="0"/>
  <tableStyles count="0" defaultTableStyle="TableStyleMedium2" defaultPivotStyle="PivotStyleLight16"/>
  <colors>
    <mruColors>
      <color rgb="FFFFCCFF"/>
      <color rgb="FF9999FF"/>
      <color rgb="FFE59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BE5D-6AE3-42A0-B99B-BAC22D3915D9}">
  <sheetPr codeName="Sheet1"/>
  <dimension ref="A1:W98"/>
  <sheetViews>
    <sheetView tabSelected="1" zoomScale="85" zoomScaleNormal="85" workbookViewId="0">
      <pane xSplit="8" ySplit="10" topLeftCell="I35" activePane="bottomRight" state="frozen"/>
      <selection pane="topRight" activeCell="I1" sqref="I1"/>
      <selection pane="bottomLeft" activeCell="A11" sqref="A11"/>
      <selection pane="bottomRight" activeCell="H44" sqref="H44"/>
    </sheetView>
  </sheetViews>
  <sheetFormatPr defaultRowHeight="14.4" x14ac:dyDescent="0.3"/>
  <cols>
    <col min="1" max="1" width="17.5546875" customWidth="1"/>
    <col min="2" max="2" width="26.44140625" customWidth="1"/>
    <col min="3" max="3" width="29.33203125" customWidth="1"/>
    <col min="4" max="4" width="19.44140625" customWidth="1"/>
    <col min="5" max="5" width="20" style="41" customWidth="1"/>
    <col min="6" max="6" width="43.5546875" customWidth="1"/>
    <col min="7" max="7" width="7.6640625" customWidth="1"/>
    <col min="8" max="8" width="6.44140625" customWidth="1"/>
    <col min="9" max="10" width="6.33203125" customWidth="1"/>
    <col min="11" max="14" width="6.88671875" customWidth="1"/>
    <col min="15" max="20" width="5.88671875" customWidth="1"/>
    <col min="21" max="21" width="1.33203125" customWidth="1"/>
    <col min="22" max="22" width="13.88671875" customWidth="1"/>
    <col min="23" max="23" width="27.6640625" customWidth="1"/>
  </cols>
  <sheetData>
    <row r="1" spans="1:23" ht="15" thickBot="1" x14ac:dyDescent="0.35">
      <c r="A1" s="7" t="s">
        <v>31</v>
      </c>
      <c r="B1" s="70" t="s">
        <v>29</v>
      </c>
      <c r="C1" s="71"/>
      <c r="D1" s="71"/>
      <c r="E1" s="72"/>
      <c r="F1" s="8" t="s">
        <v>320</v>
      </c>
      <c r="G1" s="29"/>
    </row>
    <row r="2" spans="1:23" x14ac:dyDescent="0.3">
      <c r="A2" s="17" t="s">
        <v>24</v>
      </c>
      <c r="B2" s="73" t="s">
        <v>32</v>
      </c>
      <c r="C2" s="74"/>
      <c r="D2" s="74"/>
      <c r="E2" s="75"/>
      <c r="F2" s="17" t="s">
        <v>270</v>
      </c>
      <c r="G2" s="30"/>
    </row>
    <row r="3" spans="1:23" x14ac:dyDescent="0.3">
      <c r="A3" s="18" t="s">
        <v>23</v>
      </c>
      <c r="B3" s="67" t="s">
        <v>321</v>
      </c>
      <c r="C3" s="68"/>
      <c r="D3" s="68"/>
      <c r="E3" s="69"/>
      <c r="F3" s="18" t="s">
        <v>322</v>
      </c>
      <c r="G3" s="30"/>
    </row>
    <row r="4" spans="1:23" x14ac:dyDescent="0.3">
      <c r="A4" s="18" t="s">
        <v>22</v>
      </c>
      <c r="B4" s="67" t="s">
        <v>323</v>
      </c>
      <c r="C4" s="68"/>
      <c r="D4" s="68"/>
      <c r="E4" s="69"/>
      <c r="F4" s="18" t="s">
        <v>271</v>
      </c>
      <c r="G4" s="30"/>
      <c r="J4" s="49"/>
      <c r="K4" s="49"/>
    </row>
    <row r="5" spans="1:23" x14ac:dyDescent="0.3">
      <c r="A5" s="18" t="s">
        <v>21</v>
      </c>
      <c r="B5" s="67" t="s">
        <v>120</v>
      </c>
      <c r="C5" s="68"/>
      <c r="D5" s="68"/>
      <c r="E5" s="69"/>
      <c r="F5" s="18" t="s">
        <v>35</v>
      </c>
      <c r="G5" s="30"/>
    </row>
    <row r="6" spans="1:23" x14ac:dyDescent="0.3">
      <c r="A6" s="18" t="s">
        <v>34</v>
      </c>
      <c r="B6" s="67" t="s">
        <v>324</v>
      </c>
      <c r="C6" s="68"/>
      <c r="D6" s="68"/>
      <c r="E6" s="69"/>
      <c r="F6" s="19" t="s">
        <v>39</v>
      </c>
      <c r="G6" s="31"/>
      <c r="K6" s="49"/>
      <c r="L6" s="50"/>
      <c r="M6" s="50"/>
    </row>
    <row r="7" spans="1:23" x14ac:dyDescent="0.3">
      <c r="A7" s="18" t="s">
        <v>36</v>
      </c>
      <c r="B7" s="67" t="s">
        <v>41</v>
      </c>
      <c r="C7" s="68"/>
      <c r="D7" s="68"/>
      <c r="E7" s="69"/>
      <c r="F7" s="19" t="s">
        <v>40</v>
      </c>
      <c r="G7" s="31"/>
    </row>
    <row r="8" spans="1:23" ht="15" thickBot="1" x14ac:dyDescent="0.35">
      <c r="J8" s="25"/>
      <c r="K8" s="25"/>
      <c r="L8" s="25"/>
      <c r="M8" s="25"/>
      <c r="N8" s="25"/>
      <c r="O8" s="25"/>
      <c r="P8" s="25"/>
      <c r="R8" s="25"/>
      <c r="S8" s="25"/>
      <c r="T8" s="25"/>
    </row>
    <row r="9" spans="1:23" ht="30" customHeight="1" thickBot="1" x14ac:dyDescent="0.35">
      <c r="A9" s="60" t="s">
        <v>54</v>
      </c>
      <c r="B9" s="60" t="s">
        <v>28</v>
      </c>
      <c r="C9" s="66" t="s">
        <v>325</v>
      </c>
      <c r="D9" s="66" t="s">
        <v>27</v>
      </c>
      <c r="E9" s="64" t="s">
        <v>277</v>
      </c>
      <c r="F9" s="62" t="s">
        <v>26</v>
      </c>
      <c r="G9" s="83" t="s">
        <v>25</v>
      </c>
      <c r="H9" s="84"/>
      <c r="I9" s="83" t="s">
        <v>24</v>
      </c>
      <c r="J9" s="84"/>
      <c r="K9" s="83" t="s">
        <v>23</v>
      </c>
      <c r="L9" s="84"/>
      <c r="M9" s="83" t="s">
        <v>22</v>
      </c>
      <c r="N9" s="84"/>
      <c r="O9" s="83" t="s">
        <v>21</v>
      </c>
      <c r="P9" s="84"/>
      <c r="Q9" s="83" t="s">
        <v>34</v>
      </c>
      <c r="R9" s="84"/>
      <c r="S9" s="83" t="s">
        <v>36</v>
      </c>
      <c r="T9" s="84"/>
      <c r="U9" s="5"/>
      <c r="V9" s="81" t="s">
        <v>33</v>
      </c>
      <c r="W9" s="81" t="s">
        <v>230</v>
      </c>
    </row>
    <row r="10" spans="1:23" ht="29.4" thickBot="1" x14ac:dyDescent="0.35">
      <c r="A10" s="61"/>
      <c r="B10" s="61"/>
      <c r="C10" s="63"/>
      <c r="D10" s="63"/>
      <c r="E10" s="65"/>
      <c r="F10" s="63"/>
      <c r="G10" s="24" t="s">
        <v>37</v>
      </c>
      <c r="H10" s="51" t="s">
        <v>38</v>
      </c>
      <c r="I10" s="24" t="s">
        <v>37</v>
      </c>
      <c r="J10" s="51" t="s">
        <v>38</v>
      </c>
      <c r="K10" s="24" t="s">
        <v>37</v>
      </c>
      <c r="L10" s="51" t="s">
        <v>38</v>
      </c>
      <c r="M10" s="24" t="s">
        <v>37</v>
      </c>
      <c r="N10" s="51" t="s">
        <v>38</v>
      </c>
      <c r="O10" s="24" t="s">
        <v>37</v>
      </c>
      <c r="P10" s="51" t="s">
        <v>38</v>
      </c>
      <c r="Q10" s="24" t="s">
        <v>37</v>
      </c>
      <c r="R10" s="51" t="s">
        <v>38</v>
      </c>
      <c r="S10" s="24" t="s">
        <v>37</v>
      </c>
      <c r="T10" s="51" t="s">
        <v>38</v>
      </c>
      <c r="U10" s="6"/>
      <c r="V10" s="82"/>
      <c r="W10" s="82"/>
    </row>
    <row r="11" spans="1:23" x14ac:dyDescent="0.3">
      <c r="A11" s="15" t="s">
        <v>42</v>
      </c>
      <c r="B11" s="16" t="s">
        <v>108</v>
      </c>
      <c r="C11" s="16" t="s">
        <v>108</v>
      </c>
      <c r="D11" s="3" t="s">
        <v>20</v>
      </c>
      <c r="E11" s="42" t="s">
        <v>19</v>
      </c>
      <c r="F11" s="3" t="s">
        <v>18</v>
      </c>
      <c r="G11" s="2">
        <f t="shared" ref="G11:G54" si="0">I11+K11+M11+O11+Q11+S11</f>
        <v>85</v>
      </c>
      <c r="H11" s="2">
        <f>J11+L11+N11+P11+R11+T11</f>
        <v>0</v>
      </c>
      <c r="I11" s="56">
        <v>85</v>
      </c>
      <c r="J11" s="54">
        <v>0</v>
      </c>
      <c r="K11" s="56">
        <v>0</v>
      </c>
      <c r="L11" s="57">
        <v>0</v>
      </c>
      <c r="M11" s="54">
        <v>0</v>
      </c>
      <c r="N11" s="54">
        <v>0</v>
      </c>
      <c r="O11" s="54">
        <v>0</v>
      </c>
      <c r="P11" s="54">
        <v>0</v>
      </c>
      <c r="Q11" s="2">
        <v>0</v>
      </c>
      <c r="R11" s="54">
        <v>0</v>
      </c>
      <c r="S11" s="58">
        <v>0</v>
      </c>
      <c r="T11" s="58">
        <v>0</v>
      </c>
      <c r="U11" s="21"/>
      <c r="V11" s="26"/>
      <c r="W11" s="4"/>
    </row>
    <row r="12" spans="1:23" x14ac:dyDescent="0.3">
      <c r="A12" s="15" t="s">
        <v>42</v>
      </c>
      <c r="B12" s="16" t="s">
        <v>183</v>
      </c>
      <c r="C12" s="16" t="s">
        <v>183</v>
      </c>
      <c r="D12" s="3" t="s">
        <v>20</v>
      </c>
      <c r="E12" s="42" t="s">
        <v>184</v>
      </c>
      <c r="F12" s="3" t="s">
        <v>185</v>
      </c>
      <c r="G12" s="2">
        <f t="shared" si="0"/>
        <v>1</v>
      </c>
      <c r="H12" s="2">
        <f t="shared" ref="H12:H75" si="1">J12+L12+N12+P12+R12+T12</f>
        <v>0</v>
      </c>
      <c r="I12" s="56">
        <v>0</v>
      </c>
      <c r="J12" s="48">
        <v>0</v>
      </c>
      <c r="K12" s="56">
        <v>0</v>
      </c>
      <c r="L12" s="53">
        <v>0</v>
      </c>
      <c r="M12" s="48">
        <v>0</v>
      </c>
      <c r="N12" s="48">
        <v>0</v>
      </c>
      <c r="O12" s="54">
        <v>1</v>
      </c>
      <c r="P12" s="48">
        <v>0</v>
      </c>
      <c r="Q12" s="40">
        <v>0</v>
      </c>
      <c r="R12" s="48">
        <v>0</v>
      </c>
      <c r="S12" s="22">
        <v>0</v>
      </c>
      <c r="T12" s="22">
        <v>0</v>
      </c>
      <c r="U12" s="21"/>
      <c r="V12" s="26"/>
      <c r="W12" s="4"/>
    </row>
    <row r="13" spans="1:23" x14ac:dyDescent="0.3">
      <c r="A13" s="15" t="s">
        <v>42</v>
      </c>
      <c r="B13" s="16" t="s">
        <v>237</v>
      </c>
      <c r="C13" s="16" t="s">
        <v>237</v>
      </c>
      <c r="D13" s="3" t="s">
        <v>233</v>
      </c>
      <c r="E13" s="42" t="s">
        <v>234</v>
      </c>
      <c r="F13" s="3" t="s">
        <v>235</v>
      </c>
      <c r="G13" s="2">
        <f t="shared" si="0"/>
        <v>5890</v>
      </c>
      <c r="H13" s="2">
        <f t="shared" si="1"/>
        <v>0</v>
      </c>
      <c r="I13" s="56">
        <v>2136</v>
      </c>
      <c r="J13" s="48">
        <v>0</v>
      </c>
      <c r="K13" s="56">
        <v>857</v>
      </c>
      <c r="L13" s="53">
        <v>0</v>
      </c>
      <c r="M13" s="48">
        <v>0</v>
      </c>
      <c r="N13" s="48">
        <v>0</v>
      </c>
      <c r="O13" s="54">
        <v>2897</v>
      </c>
      <c r="P13" s="48">
        <v>0</v>
      </c>
      <c r="Q13" s="40">
        <v>0</v>
      </c>
      <c r="R13" s="48">
        <v>0</v>
      </c>
      <c r="S13" s="22">
        <v>0</v>
      </c>
      <c r="T13" s="22">
        <v>0</v>
      </c>
      <c r="U13" s="21"/>
      <c r="V13" s="26"/>
      <c r="W13" s="4" t="s">
        <v>327</v>
      </c>
    </row>
    <row r="14" spans="1:23" x14ac:dyDescent="0.3">
      <c r="A14" s="15" t="s">
        <v>42</v>
      </c>
      <c r="B14" s="16" t="s">
        <v>157</v>
      </c>
      <c r="C14" s="16" t="s">
        <v>157</v>
      </c>
      <c r="D14" s="3" t="s">
        <v>20</v>
      </c>
      <c r="E14" s="42" t="s">
        <v>158</v>
      </c>
      <c r="F14" s="3" t="s">
        <v>159</v>
      </c>
      <c r="G14" s="2">
        <f t="shared" si="0"/>
        <v>0</v>
      </c>
      <c r="H14" s="2">
        <f t="shared" si="1"/>
        <v>0</v>
      </c>
      <c r="I14" s="56">
        <v>0</v>
      </c>
      <c r="J14" s="40">
        <v>0</v>
      </c>
      <c r="K14" s="56">
        <v>0</v>
      </c>
      <c r="L14" s="53">
        <v>0</v>
      </c>
      <c r="M14" s="48">
        <v>0</v>
      </c>
      <c r="N14" s="48">
        <v>0</v>
      </c>
      <c r="O14" s="54">
        <v>0</v>
      </c>
      <c r="P14" s="48">
        <v>0</v>
      </c>
      <c r="Q14" s="40">
        <v>0</v>
      </c>
      <c r="R14" s="48">
        <v>0</v>
      </c>
      <c r="S14" s="22">
        <v>0</v>
      </c>
      <c r="T14" s="22">
        <v>0</v>
      </c>
      <c r="U14" s="21"/>
      <c r="V14" s="26"/>
      <c r="W14" s="26"/>
    </row>
    <row r="15" spans="1:23" x14ac:dyDescent="0.3">
      <c r="A15" s="9" t="s">
        <v>42</v>
      </c>
      <c r="B15" s="10" t="s">
        <v>17</v>
      </c>
      <c r="C15" s="10" t="s">
        <v>17</v>
      </c>
      <c r="D15" s="1" t="s">
        <v>13</v>
      </c>
      <c r="E15" s="55">
        <v>402002934</v>
      </c>
      <c r="F15" s="1" t="s">
        <v>16</v>
      </c>
      <c r="G15" s="2">
        <f t="shared" si="0"/>
        <v>113</v>
      </c>
      <c r="H15" s="2">
        <f t="shared" si="1"/>
        <v>0</v>
      </c>
      <c r="I15" s="56">
        <v>113</v>
      </c>
      <c r="J15" s="40">
        <v>0</v>
      </c>
      <c r="K15" s="56">
        <v>0</v>
      </c>
      <c r="L15" s="53">
        <v>0</v>
      </c>
      <c r="M15" s="48">
        <v>0</v>
      </c>
      <c r="N15" s="48">
        <v>0</v>
      </c>
      <c r="O15" s="54">
        <v>0</v>
      </c>
      <c r="P15" s="48">
        <v>0</v>
      </c>
      <c r="Q15" s="40">
        <v>0</v>
      </c>
      <c r="R15" s="48">
        <v>0</v>
      </c>
      <c r="S15" s="22">
        <v>0</v>
      </c>
      <c r="T15" s="22">
        <v>0</v>
      </c>
      <c r="U15" s="23"/>
      <c r="V15" s="26"/>
      <c r="W15" s="26"/>
    </row>
    <row r="16" spans="1:23" x14ac:dyDescent="0.3">
      <c r="A16" s="9" t="s">
        <v>42</v>
      </c>
      <c r="B16" s="10" t="s">
        <v>236</v>
      </c>
      <c r="C16" s="10" t="s">
        <v>236</v>
      </c>
      <c r="D16" s="1" t="s">
        <v>13</v>
      </c>
      <c r="E16" s="55">
        <v>402015835</v>
      </c>
      <c r="F16" s="3" t="s">
        <v>238</v>
      </c>
      <c r="G16" s="2">
        <f>I16+K16+M16+O16+Q16+S16</f>
        <v>9457</v>
      </c>
      <c r="H16" s="2">
        <f t="shared" si="1"/>
        <v>0</v>
      </c>
      <c r="I16" s="56">
        <v>2028</v>
      </c>
      <c r="J16" s="48">
        <v>0</v>
      </c>
      <c r="K16" s="56">
        <v>22</v>
      </c>
      <c r="L16" s="53">
        <v>0</v>
      </c>
      <c r="M16" s="48">
        <v>0</v>
      </c>
      <c r="N16" s="48">
        <v>0</v>
      </c>
      <c r="O16" s="54">
        <v>7407</v>
      </c>
      <c r="P16" s="48">
        <v>0</v>
      </c>
      <c r="Q16" s="40">
        <v>0</v>
      </c>
      <c r="R16" s="48">
        <v>0</v>
      </c>
      <c r="S16" s="22">
        <v>0</v>
      </c>
      <c r="T16" s="22">
        <v>0</v>
      </c>
      <c r="U16" s="23"/>
      <c r="V16" s="26"/>
      <c r="W16" s="26"/>
    </row>
    <row r="17" spans="1:23" x14ac:dyDescent="0.3">
      <c r="A17" s="9" t="s">
        <v>42</v>
      </c>
      <c r="B17" s="10" t="s">
        <v>60</v>
      </c>
      <c r="C17" s="10" t="s">
        <v>109</v>
      </c>
      <c r="D17" s="1" t="s">
        <v>11</v>
      </c>
      <c r="E17" s="43" t="s">
        <v>67</v>
      </c>
      <c r="F17" s="20" t="s">
        <v>64</v>
      </c>
      <c r="G17" s="2">
        <f t="shared" si="0"/>
        <v>32</v>
      </c>
      <c r="H17" s="2">
        <f t="shared" si="1"/>
        <v>0</v>
      </c>
      <c r="I17" s="56">
        <v>32</v>
      </c>
      <c r="J17" s="53">
        <v>0</v>
      </c>
      <c r="K17" s="56">
        <v>0</v>
      </c>
      <c r="L17" s="53">
        <v>0</v>
      </c>
      <c r="M17" s="48">
        <v>0</v>
      </c>
      <c r="N17" s="48">
        <v>0</v>
      </c>
      <c r="O17" s="54">
        <v>0</v>
      </c>
      <c r="P17" s="48">
        <v>0</v>
      </c>
      <c r="Q17" s="40">
        <v>0</v>
      </c>
      <c r="R17" s="48">
        <v>0</v>
      </c>
      <c r="S17" s="22">
        <v>0</v>
      </c>
      <c r="T17" s="22">
        <v>0</v>
      </c>
      <c r="U17" s="23"/>
      <c r="V17" s="26"/>
      <c r="W17" s="4"/>
    </row>
    <row r="18" spans="1:23" x14ac:dyDescent="0.3">
      <c r="A18" s="9" t="s">
        <v>42</v>
      </c>
      <c r="B18" s="10" t="s">
        <v>61</v>
      </c>
      <c r="C18" s="10" t="s">
        <v>110</v>
      </c>
      <c r="D18" s="1" t="s">
        <v>11</v>
      </c>
      <c r="E18" s="43" t="s">
        <v>57</v>
      </c>
      <c r="F18" s="20" t="s">
        <v>58</v>
      </c>
      <c r="G18" s="2">
        <f t="shared" si="0"/>
        <v>114</v>
      </c>
      <c r="H18" s="2">
        <f t="shared" si="1"/>
        <v>0</v>
      </c>
      <c r="I18" s="56">
        <v>114</v>
      </c>
      <c r="J18" s="53">
        <v>0</v>
      </c>
      <c r="K18" s="56">
        <v>0</v>
      </c>
      <c r="L18" s="53">
        <v>0</v>
      </c>
      <c r="M18" s="48">
        <v>0</v>
      </c>
      <c r="N18" s="48">
        <v>0</v>
      </c>
      <c r="O18" s="54">
        <v>0</v>
      </c>
      <c r="P18" s="48">
        <v>0</v>
      </c>
      <c r="Q18" s="40">
        <v>0</v>
      </c>
      <c r="R18" s="48">
        <v>0</v>
      </c>
      <c r="S18" s="22">
        <v>0</v>
      </c>
      <c r="T18" s="22">
        <v>0</v>
      </c>
      <c r="U18" s="23"/>
      <c r="V18" s="26"/>
      <c r="W18" s="4"/>
    </row>
    <row r="19" spans="1:23" x14ac:dyDescent="0.3">
      <c r="A19" s="9" t="s">
        <v>42</v>
      </c>
      <c r="B19" s="10" t="s">
        <v>62</v>
      </c>
      <c r="C19" s="10" t="s">
        <v>111</v>
      </c>
      <c r="D19" s="1" t="s">
        <v>11</v>
      </c>
      <c r="E19" s="43" t="s">
        <v>68</v>
      </c>
      <c r="F19" s="20" t="s">
        <v>66</v>
      </c>
      <c r="G19" s="2">
        <f t="shared" si="0"/>
        <v>366</v>
      </c>
      <c r="H19" s="2">
        <f t="shared" si="1"/>
        <v>0</v>
      </c>
      <c r="I19" s="56">
        <v>181</v>
      </c>
      <c r="J19" s="53">
        <v>0</v>
      </c>
      <c r="K19" s="56">
        <v>1</v>
      </c>
      <c r="L19" s="53">
        <v>0</v>
      </c>
      <c r="M19" s="48">
        <v>0</v>
      </c>
      <c r="N19" s="48">
        <v>0</v>
      </c>
      <c r="O19" s="54">
        <v>184</v>
      </c>
      <c r="P19" s="48">
        <v>0</v>
      </c>
      <c r="Q19" s="40">
        <v>0</v>
      </c>
      <c r="R19" s="48">
        <v>0</v>
      </c>
      <c r="S19" s="22">
        <v>0</v>
      </c>
      <c r="T19" s="22">
        <v>0</v>
      </c>
      <c r="U19" s="23"/>
      <c r="V19" s="26"/>
      <c r="W19" s="4"/>
    </row>
    <row r="20" spans="1:23" x14ac:dyDescent="0.3">
      <c r="A20" s="9" t="s">
        <v>42</v>
      </c>
      <c r="B20" s="10" t="s">
        <v>104</v>
      </c>
      <c r="C20" s="10" t="s">
        <v>112</v>
      </c>
      <c r="D20" s="1" t="s">
        <v>11</v>
      </c>
      <c r="E20" s="43" t="s">
        <v>105</v>
      </c>
      <c r="F20" s="20" t="s">
        <v>106</v>
      </c>
      <c r="G20" s="2">
        <f t="shared" si="0"/>
        <v>1501</v>
      </c>
      <c r="H20" s="2">
        <f t="shared" si="1"/>
        <v>0</v>
      </c>
      <c r="I20" s="56">
        <v>944</v>
      </c>
      <c r="J20" s="53">
        <v>0</v>
      </c>
      <c r="K20" s="56">
        <v>0</v>
      </c>
      <c r="L20" s="53">
        <v>0</v>
      </c>
      <c r="M20" s="48">
        <v>0</v>
      </c>
      <c r="N20" s="48">
        <v>0</v>
      </c>
      <c r="O20" s="54">
        <v>557</v>
      </c>
      <c r="P20" s="48">
        <v>0</v>
      </c>
      <c r="Q20" s="40">
        <v>0</v>
      </c>
      <c r="R20" s="48">
        <v>0</v>
      </c>
      <c r="S20" s="22">
        <v>0</v>
      </c>
      <c r="T20" s="22">
        <v>0</v>
      </c>
      <c r="U20" s="23"/>
      <c r="V20" s="26"/>
      <c r="W20" s="4"/>
    </row>
    <row r="21" spans="1:23" x14ac:dyDescent="0.3">
      <c r="A21" s="9" t="s">
        <v>42</v>
      </c>
      <c r="B21" s="10" t="s">
        <v>252</v>
      </c>
      <c r="C21" s="10" t="s">
        <v>253</v>
      </c>
      <c r="D21" s="1" t="s">
        <v>11</v>
      </c>
      <c r="E21" s="43" t="s">
        <v>255</v>
      </c>
      <c r="F21" s="20" t="s">
        <v>256</v>
      </c>
      <c r="G21" s="2">
        <f t="shared" si="0"/>
        <v>2469</v>
      </c>
      <c r="H21" s="2">
        <f t="shared" si="1"/>
        <v>0</v>
      </c>
      <c r="I21" s="56">
        <v>1851</v>
      </c>
      <c r="J21" s="53">
        <v>0</v>
      </c>
      <c r="K21" s="56">
        <v>12</v>
      </c>
      <c r="L21" s="53">
        <v>0</v>
      </c>
      <c r="M21" s="48">
        <v>0</v>
      </c>
      <c r="N21" s="48">
        <v>0</v>
      </c>
      <c r="O21" s="54">
        <v>606</v>
      </c>
      <c r="P21" s="48">
        <v>0</v>
      </c>
      <c r="Q21" s="40">
        <v>0</v>
      </c>
      <c r="R21" s="48">
        <v>0</v>
      </c>
      <c r="S21" s="22">
        <v>0</v>
      </c>
      <c r="T21" s="22">
        <v>0</v>
      </c>
      <c r="U21" s="23"/>
      <c r="V21" s="26"/>
      <c r="W21" s="4"/>
    </row>
    <row r="22" spans="1:23" x14ac:dyDescent="0.3">
      <c r="A22" s="9" t="s">
        <v>42</v>
      </c>
      <c r="B22" s="10" t="s">
        <v>259</v>
      </c>
      <c r="C22" s="10" t="s">
        <v>260</v>
      </c>
      <c r="D22" s="1" t="s">
        <v>11</v>
      </c>
      <c r="E22" s="43" t="s">
        <v>258</v>
      </c>
      <c r="F22" s="20" t="s">
        <v>261</v>
      </c>
      <c r="G22" s="2">
        <f t="shared" si="0"/>
        <v>38</v>
      </c>
      <c r="H22" s="2">
        <f t="shared" si="1"/>
        <v>0</v>
      </c>
      <c r="I22" s="56">
        <v>0</v>
      </c>
      <c r="J22" s="53">
        <v>0</v>
      </c>
      <c r="K22" s="56">
        <v>2</v>
      </c>
      <c r="L22" s="53">
        <v>0</v>
      </c>
      <c r="M22" s="48">
        <v>0</v>
      </c>
      <c r="N22" s="48">
        <v>0</v>
      </c>
      <c r="O22" s="54">
        <v>36</v>
      </c>
      <c r="P22" s="48">
        <v>0</v>
      </c>
      <c r="Q22" s="40">
        <v>0</v>
      </c>
      <c r="R22" s="48">
        <v>0</v>
      </c>
      <c r="S22" s="22">
        <v>0</v>
      </c>
      <c r="T22" s="22">
        <v>0</v>
      </c>
      <c r="U22" s="23"/>
      <c r="V22" s="26"/>
      <c r="W22" s="4"/>
    </row>
    <row r="23" spans="1:23" x14ac:dyDescent="0.3">
      <c r="A23" s="9" t="s">
        <v>42</v>
      </c>
      <c r="B23" s="10" t="s">
        <v>44</v>
      </c>
      <c r="C23" s="10" t="s">
        <v>113</v>
      </c>
      <c r="D23" s="1" t="s">
        <v>13</v>
      </c>
      <c r="E23" s="43">
        <v>402004482</v>
      </c>
      <c r="F23" s="20" t="s">
        <v>242</v>
      </c>
      <c r="G23" s="2">
        <f t="shared" si="0"/>
        <v>26</v>
      </c>
      <c r="H23" s="2">
        <f t="shared" si="1"/>
        <v>0</v>
      </c>
      <c r="I23" s="56">
        <v>26</v>
      </c>
      <c r="J23" s="53">
        <v>0</v>
      </c>
      <c r="K23" s="56">
        <v>0</v>
      </c>
      <c r="L23" s="53">
        <v>0</v>
      </c>
      <c r="M23" s="48">
        <v>0</v>
      </c>
      <c r="N23" s="48">
        <v>0</v>
      </c>
      <c r="O23" s="54">
        <v>0</v>
      </c>
      <c r="P23" s="48">
        <v>0</v>
      </c>
      <c r="Q23" s="40">
        <v>0</v>
      </c>
      <c r="R23" s="48">
        <v>0</v>
      </c>
      <c r="S23" s="22">
        <v>0</v>
      </c>
      <c r="T23" s="22">
        <v>0</v>
      </c>
      <c r="U23" s="23"/>
      <c r="V23" s="26"/>
      <c r="W23" s="4"/>
    </row>
    <row r="24" spans="1:23" x14ac:dyDescent="0.3">
      <c r="A24" s="9" t="s">
        <v>42</v>
      </c>
      <c r="B24" s="10" t="s">
        <v>43</v>
      </c>
      <c r="C24" s="10" t="s">
        <v>114</v>
      </c>
      <c r="D24" s="1" t="s">
        <v>13</v>
      </c>
      <c r="E24" s="55">
        <v>402006129</v>
      </c>
      <c r="F24" s="20" t="s">
        <v>15</v>
      </c>
      <c r="G24" s="2">
        <f t="shared" si="0"/>
        <v>246</v>
      </c>
      <c r="H24" s="2">
        <f t="shared" si="1"/>
        <v>0</v>
      </c>
      <c r="I24" s="56">
        <v>246</v>
      </c>
      <c r="J24" s="53">
        <v>0</v>
      </c>
      <c r="K24" s="56">
        <v>0</v>
      </c>
      <c r="L24" s="53">
        <v>0</v>
      </c>
      <c r="M24" s="48">
        <v>0</v>
      </c>
      <c r="N24" s="48">
        <v>0</v>
      </c>
      <c r="O24" s="54">
        <v>0</v>
      </c>
      <c r="P24" s="48">
        <v>0</v>
      </c>
      <c r="Q24" s="40">
        <v>0</v>
      </c>
      <c r="R24" s="48">
        <v>0</v>
      </c>
      <c r="S24" s="22">
        <v>0</v>
      </c>
      <c r="T24" s="22">
        <v>0</v>
      </c>
      <c r="U24" s="23"/>
      <c r="V24" s="26"/>
      <c r="W24" s="4"/>
    </row>
    <row r="25" spans="1:23" x14ac:dyDescent="0.3">
      <c r="A25" s="9" t="s">
        <v>42</v>
      </c>
      <c r="B25" s="10" t="s">
        <v>63</v>
      </c>
      <c r="C25" s="10" t="s">
        <v>115</v>
      </c>
      <c r="D25" s="1" t="s">
        <v>13</v>
      </c>
      <c r="E25" s="55">
        <v>402008559</v>
      </c>
      <c r="F25" s="20" t="s">
        <v>65</v>
      </c>
      <c r="G25" s="2">
        <f t="shared" si="0"/>
        <v>5803</v>
      </c>
      <c r="H25" s="2">
        <f t="shared" si="1"/>
        <v>0</v>
      </c>
      <c r="I25" s="56">
        <v>4253</v>
      </c>
      <c r="J25" s="53">
        <v>0</v>
      </c>
      <c r="K25" s="56">
        <v>0</v>
      </c>
      <c r="L25" s="53">
        <v>0</v>
      </c>
      <c r="M25" s="53">
        <v>0</v>
      </c>
      <c r="N25" s="53">
        <v>0</v>
      </c>
      <c r="O25" s="54">
        <v>1550</v>
      </c>
      <c r="P25" s="48">
        <v>0</v>
      </c>
      <c r="Q25" s="40">
        <v>0</v>
      </c>
      <c r="R25" s="48">
        <v>0</v>
      </c>
      <c r="S25" s="22">
        <v>0</v>
      </c>
      <c r="T25" s="22">
        <v>0</v>
      </c>
      <c r="U25" s="23"/>
      <c r="V25" s="26"/>
      <c r="W25" s="4"/>
    </row>
    <row r="26" spans="1:23" x14ac:dyDescent="0.3">
      <c r="A26" s="9" t="s">
        <v>42</v>
      </c>
      <c r="B26" s="10" t="s">
        <v>254</v>
      </c>
      <c r="C26" s="10" t="s">
        <v>269</v>
      </c>
      <c r="D26" s="1" t="s">
        <v>13</v>
      </c>
      <c r="E26" s="55">
        <v>402316702</v>
      </c>
      <c r="F26" s="20" t="s">
        <v>257</v>
      </c>
      <c r="G26" s="2">
        <f t="shared" si="0"/>
        <v>2390</v>
      </c>
      <c r="H26" s="2">
        <f t="shared" si="1"/>
        <v>0</v>
      </c>
      <c r="I26" s="56">
        <v>1860</v>
      </c>
      <c r="J26" s="53">
        <v>0</v>
      </c>
      <c r="K26" s="56">
        <v>13</v>
      </c>
      <c r="L26" s="53">
        <v>0</v>
      </c>
      <c r="M26" s="48">
        <v>0</v>
      </c>
      <c r="N26" s="48">
        <v>0</v>
      </c>
      <c r="O26" s="54">
        <v>517</v>
      </c>
      <c r="P26" s="48">
        <v>0</v>
      </c>
      <c r="Q26" s="40">
        <v>0</v>
      </c>
      <c r="R26" s="48">
        <v>0</v>
      </c>
      <c r="S26" s="22">
        <v>0</v>
      </c>
      <c r="T26" s="22">
        <v>0</v>
      </c>
      <c r="U26" s="23"/>
      <c r="V26" s="26"/>
      <c r="W26" s="4"/>
    </row>
    <row r="27" spans="1:23" x14ac:dyDescent="0.3">
      <c r="A27" s="9" t="s">
        <v>287</v>
      </c>
      <c r="B27" s="77" t="s">
        <v>259</v>
      </c>
      <c r="C27" s="77" t="s">
        <v>260</v>
      </c>
      <c r="D27" s="1" t="s">
        <v>11</v>
      </c>
      <c r="E27" s="43" t="s">
        <v>258</v>
      </c>
      <c r="F27" s="20" t="s">
        <v>261</v>
      </c>
      <c r="G27" s="2">
        <f t="shared" si="0"/>
        <v>38</v>
      </c>
      <c r="H27" s="2">
        <f t="shared" si="1"/>
        <v>0</v>
      </c>
      <c r="I27" s="56">
        <v>0</v>
      </c>
      <c r="J27" s="53">
        <v>0</v>
      </c>
      <c r="K27" s="56">
        <v>2</v>
      </c>
      <c r="L27" s="53">
        <v>0</v>
      </c>
      <c r="M27" s="48">
        <v>0</v>
      </c>
      <c r="N27" s="48">
        <v>0</v>
      </c>
      <c r="O27" s="54">
        <v>36</v>
      </c>
      <c r="P27" s="48">
        <v>0</v>
      </c>
      <c r="Q27" s="40">
        <v>0</v>
      </c>
      <c r="R27" s="48">
        <v>0</v>
      </c>
      <c r="S27" s="22">
        <v>0</v>
      </c>
      <c r="T27" s="22">
        <v>0</v>
      </c>
      <c r="U27" s="23"/>
      <c r="V27" s="26"/>
      <c r="W27" s="4"/>
    </row>
    <row r="28" spans="1:23" x14ac:dyDescent="0.3">
      <c r="A28" s="9" t="s">
        <v>287</v>
      </c>
      <c r="B28" s="77" t="s">
        <v>290</v>
      </c>
      <c r="C28" s="77" t="s">
        <v>290</v>
      </c>
      <c r="D28" s="1" t="s">
        <v>289</v>
      </c>
      <c r="E28" s="55" t="s">
        <v>288</v>
      </c>
      <c r="F28" s="20" t="s">
        <v>291</v>
      </c>
      <c r="G28" s="2">
        <f t="shared" si="0"/>
        <v>36</v>
      </c>
      <c r="H28" s="2">
        <f t="shared" si="1"/>
        <v>0</v>
      </c>
      <c r="I28" s="56">
        <v>0</v>
      </c>
      <c r="J28" s="40">
        <v>0</v>
      </c>
      <c r="K28" s="56">
        <v>2</v>
      </c>
      <c r="L28" s="53">
        <v>0</v>
      </c>
      <c r="M28" s="48">
        <v>0</v>
      </c>
      <c r="N28" s="48">
        <v>0</v>
      </c>
      <c r="O28" s="54">
        <v>34</v>
      </c>
      <c r="P28" s="48">
        <v>0</v>
      </c>
      <c r="Q28" s="48">
        <v>0</v>
      </c>
      <c r="R28" s="48">
        <v>0</v>
      </c>
      <c r="S28" s="22">
        <v>0</v>
      </c>
      <c r="T28" s="22">
        <v>0</v>
      </c>
      <c r="U28" s="23"/>
      <c r="V28" s="26"/>
      <c r="W28" s="4"/>
    </row>
    <row r="29" spans="1:23" x14ac:dyDescent="0.3">
      <c r="A29" s="9" t="s">
        <v>205</v>
      </c>
      <c r="B29" s="35" t="s">
        <v>207</v>
      </c>
      <c r="C29" s="35" t="s">
        <v>206</v>
      </c>
      <c r="D29" s="1" t="s">
        <v>11</v>
      </c>
      <c r="E29" s="43" t="s">
        <v>209</v>
      </c>
      <c r="F29" s="20" t="s">
        <v>208</v>
      </c>
      <c r="G29" s="2">
        <f t="shared" si="0"/>
        <v>0</v>
      </c>
      <c r="H29" s="2">
        <f t="shared" si="1"/>
        <v>0</v>
      </c>
      <c r="I29" s="56">
        <v>0</v>
      </c>
      <c r="J29" s="53">
        <v>0</v>
      </c>
      <c r="K29" s="56">
        <v>0</v>
      </c>
      <c r="L29" s="53">
        <v>0</v>
      </c>
      <c r="M29" s="53">
        <v>0</v>
      </c>
      <c r="N29" s="53">
        <v>0</v>
      </c>
      <c r="O29" s="54">
        <v>0</v>
      </c>
      <c r="P29" s="48">
        <v>0</v>
      </c>
      <c r="Q29" s="40">
        <v>0</v>
      </c>
      <c r="R29" s="48">
        <v>0</v>
      </c>
      <c r="S29" s="22">
        <v>0</v>
      </c>
      <c r="T29" s="22">
        <v>0</v>
      </c>
      <c r="U29" s="23"/>
      <c r="V29" s="26"/>
      <c r="W29" s="4"/>
    </row>
    <row r="30" spans="1:23" x14ac:dyDescent="0.3">
      <c r="A30" s="9" t="s">
        <v>45</v>
      </c>
      <c r="B30" s="12" t="s">
        <v>14</v>
      </c>
      <c r="C30" s="12" t="s">
        <v>14</v>
      </c>
      <c r="D30" s="1" t="s">
        <v>13</v>
      </c>
      <c r="E30" s="55">
        <v>409904609</v>
      </c>
      <c r="F30" s="1" t="s">
        <v>12</v>
      </c>
      <c r="G30" s="2">
        <f t="shared" si="0"/>
        <v>833</v>
      </c>
      <c r="H30" s="2">
        <f t="shared" si="1"/>
        <v>0</v>
      </c>
      <c r="I30" s="56">
        <v>0</v>
      </c>
      <c r="J30" s="53">
        <v>0</v>
      </c>
      <c r="K30" s="56">
        <v>12</v>
      </c>
      <c r="L30" s="53">
        <v>0</v>
      </c>
      <c r="M30" s="48">
        <v>0</v>
      </c>
      <c r="N30" s="48">
        <v>0</v>
      </c>
      <c r="O30" s="54">
        <v>821</v>
      </c>
      <c r="P30" s="48">
        <v>0</v>
      </c>
      <c r="Q30" s="40">
        <v>0</v>
      </c>
      <c r="R30" s="48">
        <v>0</v>
      </c>
      <c r="S30" s="22">
        <v>0</v>
      </c>
      <c r="T30" s="22">
        <v>0</v>
      </c>
      <c r="U30" s="23"/>
      <c r="V30" s="26"/>
      <c r="W30" s="4"/>
    </row>
    <row r="31" spans="1:23" x14ac:dyDescent="0.3">
      <c r="A31" s="9" t="s">
        <v>45</v>
      </c>
      <c r="B31" s="12" t="s">
        <v>46</v>
      </c>
      <c r="C31" s="12" t="s">
        <v>46</v>
      </c>
      <c r="D31" s="1" t="s">
        <v>55</v>
      </c>
      <c r="E31" s="43" t="s">
        <v>59</v>
      </c>
      <c r="F31" s="1" t="s">
        <v>56</v>
      </c>
      <c r="G31" s="2">
        <f t="shared" si="0"/>
        <v>0</v>
      </c>
      <c r="H31" s="2">
        <f t="shared" si="1"/>
        <v>0</v>
      </c>
      <c r="I31" s="56">
        <v>0</v>
      </c>
      <c r="J31" s="53">
        <v>0</v>
      </c>
      <c r="K31" s="56">
        <v>0</v>
      </c>
      <c r="L31" s="53">
        <v>0</v>
      </c>
      <c r="M31" s="48">
        <v>0</v>
      </c>
      <c r="N31" s="48">
        <v>0</v>
      </c>
      <c r="O31" s="54">
        <v>0</v>
      </c>
      <c r="P31" s="48">
        <v>0</v>
      </c>
      <c r="Q31" s="40">
        <v>0</v>
      </c>
      <c r="R31" s="48">
        <v>0</v>
      </c>
      <c r="S31" s="22">
        <v>0</v>
      </c>
      <c r="T31" s="22">
        <v>0</v>
      </c>
      <c r="U31" s="23"/>
      <c r="V31" s="26"/>
      <c r="W31" s="4"/>
    </row>
    <row r="32" spans="1:23" x14ac:dyDescent="0.3">
      <c r="A32" s="9" t="s">
        <v>45</v>
      </c>
      <c r="B32" s="12" t="s">
        <v>47</v>
      </c>
      <c r="C32" s="12" t="s">
        <v>47</v>
      </c>
      <c r="D32" s="1" t="s">
        <v>1</v>
      </c>
      <c r="E32" s="44" t="s">
        <v>1</v>
      </c>
      <c r="F32" s="1" t="s">
        <v>326</v>
      </c>
      <c r="G32" s="2">
        <f t="shared" si="0"/>
        <v>0</v>
      </c>
      <c r="H32" s="2">
        <f t="shared" si="1"/>
        <v>0</v>
      </c>
      <c r="I32" s="56">
        <v>0</v>
      </c>
      <c r="J32" s="53">
        <v>0</v>
      </c>
      <c r="K32" s="56">
        <v>0</v>
      </c>
      <c r="L32" s="53">
        <v>0</v>
      </c>
      <c r="M32" s="48">
        <v>0</v>
      </c>
      <c r="N32" s="48">
        <v>0</v>
      </c>
      <c r="O32" s="54">
        <v>0</v>
      </c>
      <c r="P32" s="48">
        <v>0</v>
      </c>
      <c r="Q32" s="40">
        <v>0</v>
      </c>
      <c r="R32" s="48">
        <v>0</v>
      </c>
      <c r="S32" s="22">
        <v>0</v>
      </c>
      <c r="T32" s="22">
        <v>0</v>
      </c>
      <c r="U32" s="23"/>
      <c r="V32" s="26"/>
      <c r="W32" s="4"/>
    </row>
    <row r="33" spans="1:23" x14ac:dyDescent="0.3">
      <c r="A33" s="9" t="s">
        <v>45</v>
      </c>
      <c r="B33" s="12" t="s">
        <v>48</v>
      </c>
      <c r="C33" s="12" t="s">
        <v>48</v>
      </c>
      <c r="D33" s="1" t="s">
        <v>1</v>
      </c>
      <c r="E33" s="44" t="s">
        <v>1</v>
      </c>
      <c r="F33" s="1" t="s">
        <v>326</v>
      </c>
      <c r="G33" s="2">
        <f t="shared" si="0"/>
        <v>0</v>
      </c>
      <c r="H33" s="2">
        <f t="shared" si="1"/>
        <v>0</v>
      </c>
      <c r="I33" s="56">
        <v>0</v>
      </c>
      <c r="J33" s="53">
        <v>0</v>
      </c>
      <c r="K33" s="56">
        <v>0</v>
      </c>
      <c r="L33" s="53">
        <v>0</v>
      </c>
      <c r="M33" s="48">
        <v>0</v>
      </c>
      <c r="N33" s="48">
        <v>0</v>
      </c>
      <c r="O33" s="54">
        <v>0</v>
      </c>
      <c r="P33" s="53">
        <v>0</v>
      </c>
      <c r="Q33" s="40">
        <v>0</v>
      </c>
      <c r="R33" s="48">
        <v>0</v>
      </c>
      <c r="S33" s="22">
        <v>0</v>
      </c>
      <c r="T33" s="22">
        <v>0</v>
      </c>
      <c r="U33" s="23"/>
      <c r="V33" s="26"/>
      <c r="W33" s="4"/>
    </row>
    <row r="34" spans="1:23" x14ac:dyDescent="0.3">
      <c r="A34" s="9" t="s">
        <v>49</v>
      </c>
      <c r="B34" s="13" t="s">
        <v>264</v>
      </c>
      <c r="C34" s="13" t="s">
        <v>264</v>
      </c>
      <c r="D34" s="1" t="s">
        <v>11</v>
      </c>
      <c r="E34" s="44" t="s">
        <v>265</v>
      </c>
      <c r="F34" s="1" t="s">
        <v>279</v>
      </c>
      <c r="G34" s="2">
        <f t="shared" si="0"/>
        <v>3700</v>
      </c>
      <c r="H34" s="2">
        <f t="shared" si="1"/>
        <v>0</v>
      </c>
      <c r="I34" s="56">
        <v>0</v>
      </c>
      <c r="J34" s="53">
        <v>0</v>
      </c>
      <c r="K34" s="56">
        <v>0</v>
      </c>
      <c r="L34" s="53">
        <v>0</v>
      </c>
      <c r="M34" s="48">
        <v>0</v>
      </c>
      <c r="N34" s="48">
        <v>0</v>
      </c>
      <c r="O34" s="54">
        <f>1200+2500</f>
        <v>3700</v>
      </c>
      <c r="P34" s="53">
        <v>0</v>
      </c>
      <c r="Q34" s="40">
        <v>0</v>
      </c>
      <c r="R34" s="48">
        <v>0</v>
      </c>
      <c r="S34" s="22">
        <v>0</v>
      </c>
      <c r="T34" s="22">
        <v>0</v>
      </c>
      <c r="U34" s="23"/>
      <c r="V34" s="26"/>
      <c r="W34" s="4"/>
    </row>
    <row r="35" spans="1:23" x14ac:dyDescent="0.3">
      <c r="A35" s="9" t="s">
        <v>49</v>
      </c>
      <c r="B35" s="13" t="s">
        <v>165</v>
      </c>
      <c r="C35" s="13" t="s">
        <v>171</v>
      </c>
      <c r="D35" s="1" t="s">
        <v>11</v>
      </c>
      <c r="E35" s="44" t="s">
        <v>174</v>
      </c>
      <c r="F35" s="1" t="s">
        <v>210</v>
      </c>
      <c r="G35" s="2">
        <f t="shared" si="0"/>
        <v>6595</v>
      </c>
      <c r="H35" s="2">
        <f t="shared" si="1"/>
        <v>0</v>
      </c>
      <c r="I35" s="56">
        <v>624</v>
      </c>
      <c r="J35" s="53">
        <v>0</v>
      </c>
      <c r="K35" s="56">
        <v>5600</v>
      </c>
      <c r="L35" s="53">
        <v>0</v>
      </c>
      <c r="M35" s="48">
        <v>0</v>
      </c>
      <c r="N35" s="48">
        <v>0</v>
      </c>
      <c r="O35" s="54">
        <v>371</v>
      </c>
      <c r="P35" s="53">
        <v>0</v>
      </c>
      <c r="Q35" s="40">
        <v>0</v>
      </c>
      <c r="R35" s="48">
        <v>0</v>
      </c>
      <c r="S35" s="22">
        <v>0</v>
      </c>
      <c r="T35" s="22">
        <v>0</v>
      </c>
      <c r="U35" s="23"/>
      <c r="V35" s="26"/>
      <c r="W35" s="4"/>
    </row>
    <row r="36" spans="1:23" ht="13.8" customHeight="1" x14ac:dyDescent="0.3">
      <c r="A36" s="9" t="s">
        <v>49</v>
      </c>
      <c r="B36" s="13" t="s">
        <v>166</v>
      </c>
      <c r="C36" s="13" t="s">
        <v>116</v>
      </c>
      <c r="D36" s="1" t="s">
        <v>11</v>
      </c>
      <c r="E36" s="44" t="s">
        <v>10</v>
      </c>
      <c r="F36" s="1" t="s">
        <v>9</v>
      </c>
      <c r="G36" s="2">
        <f t="shared" si="0"/>
        <v>602</v>
      </c>
      <c r="H36" s="2">
        <f t="shared" si="1"/>
        <v>0</v>
      </c>
      <c r="I36" s="56">
        <v>520</v>
      </c>
      <c r="J36" s="53">
        <v>0</v>
      </c>
      <c r="K36" s="56">
        <v>0</v>
      </c>
      <c r="L36" s="53">
        <v>0</v>
      </c>
      <c r="M36" s="48">
        <v>0</v>
      </c>
      <c r="N36" s="48">
        <v>0</v>
      </c>
      <c r="O36" s="54">
        <v>82</v>
      </c>
      <c r="P36" s="53">
        <v>0</v>
      </c>
      <c r="Q36" s="40">
        <v>0</v>
      </c>
      <c r="R36" s="48">
        <v>0</v>
      </c>
      <c r="S36" s="22">
        <v>0</v>
      </c>
      <c r="T36" s="22">
        <v>0</v>
      </c>
      <c r="U36" s="23"/>
      <c r="V36" s="26"/>
      <c r="W36" s="4"/>
    </row>
    <row r="37" spans="1:23" x14ac:dyDescent="0.3">
      <c r="A37" s="9" t="s">
        <v>49</v>
      </c>
      <c r="B37" s="13" t="s">
        <v>167</v>
      </c>
      <c r="C37" s="13" t="s">
        <v>167</v>
      </c>
      <c r="D37" s="1" t="s">
        <v>11</v>
      </c>
      <c r="E37" s="43" t="s">
        <v>172</v>
      </c>
      <c r="F37" s="1" t="s">
        <v>173</v>
      </c>
      <c r="G37" s="2">
        <f t="shared" si="0"/>
        <v>14</v>
      </c>
      <c r="H37" s="2">
        <f t="shared" si="1"/>
        <v>0</v>
      </c>
      <c r="I37" s="56">
        <v>14</v>
      </c>
      <c r="J37" s="53">
        <v>0</v>
      </c>
      <c r="K37" s="56">
        <v>0</v>
      </c>
      <c r="L37" s="53">
        <v>0</v>
      </c>
      <c r="M37" s="48">
        <v>0</v>
      </c>
      <c r="N37" s="48">
        <v>0</v>
      </c>
      <c r="O37" s="54">
        <v>0</v>
      </c>
      <c r="P37" s="53">
        <v>0</v>
      </c>
      <c r="Q37" s="40">
        <v>0</v>
      </c>
      <c r="R37" s="48">
        <v>0</v>
      </c>
      <c r="S37" s="22">
        <v>0</v>
      </c>
      <c r="T37" s="22">
        <v>0</v>
      </c>
      <c r="U37" s="23"/>
      <c r="V37" s="26"/>
      <c r="W37" s="4"/>
    </row>
    <row r="38" spans="1:23" x14ac:dyDescent="0.3">
      <c r="A38" s="9" t="s">
        <v>49</v>
      </c>
      <c r="B38" s="13" t="s">
        <v>8</v>
      </c>
      <c r="C38" s="13" t="s">
        <v>8</v>
      </c>
      <c r="D38" s="1" t="s">
        <v>5</v>
      </c>
      <c r="E38" s="43" t="s">
        <v>243</v>
      </c>
      <c r="F38" s="1" t="s">
        <v>7</v>
      </c>
      <c r="G38" s="2">
        <f t="shared" si="0"/>
        <v>10156</v>
      </c>
      <c r="H38" s="2">
        <f t="shared" si="1"/>
        <v>0</v>
      </c>
      <c r="I38" s="56">
        <v>1727</v>
      </c>
      <c r="J38" s="53">
        <v>0</v>
      </c>
      <c r="K38" s="56">
        <v>5000</v>
      </c>
      <c r="L38" s="53">
        <v>0</v>
      </c>
      <c r="M38" s="53">
        <v>0</v>
      </c>
      <c r="N38" s="53">
        <v>0</v>
      </c>
      <c r="O38" s="54">
        <v>3429</v>
      </c>
      <c r="P38" s="53">
        <v>0</v>
      </c>
      <c r="Q38" s="40">
        <v>0</v>
      </c>
      <c r="R38" s="53">
        <v>0</v>
      </c>
      <c r="S38" s="22">
        <v>0</v>
      </c>
      <c r="T38" s="22">
        <v>0</v>
      </c>
      <c r="U38" s="23"/>
      <c r="V38" s="26"/>
      <c r="W38" s="4"/>
    </row>
    <row r="39" spans="1:23" x14ac:dyDescent="0.3">
      <c r="A39" s="9" t="s">
        <v>49</v>
      </c>
      <c r="B39" s="13" t="s">
        <v>6</v>
      </c>
      <c r="C39" s="13" t="s">
        <v>6</v>
      </c>
      <c r="D39" s="1" t="s">
        <v>5</v>
      </c>
      <c r="E39" s="43" t="s">
        <v>4</v>
      </c>
      <c r="F39" s="1" t="s">
        <v>3</v>
      </c>
      <c r="G39" s="2">
        <f t="shared" si="0"/>
        <v>8783</v>
      </c>
      <c r="H39" s="2">
        <f t="shared" si="1"/>
        <v>0</v>
      </c>
      <c r="I39" s="56">
        <v>2945</v>
      </c>
      <c r="J39" s="53">
        <v>0</v>
      </c>
      <c r="K39" s="56">
        <v>5000</v>
      </c>
      <c r="L39" s="53">
        <v>0</v>
      </c>
      <c r="M39" s="48">
        <v>0</v>
      </c>
      <c r="N39" s="48">
        <v>0</v>
      </c>
      <c r="O39" s="54">
        <v>838</v>
      </c>
      <c r="P39" s="53">
        <v>0</v>
      </c>
      <c r="Q39" s="40">
        <v>0</v>
      </c>
      <c r="R39" s="48">
        <v>0</v>
      </c>
      <c r="S39" s="22">
        <v>0</v>
      </c>
      <c r="T39" s="22">
        <v>0</v>
      </c>
      <c r="U39" s="23"/>
      <c r="V39" s="26"/>
      <c r="W39" s="4"/>
    </row>
    <row r="40" spans="1:23" x14ac:dyDescent="0.3">
      <c r="A40" s="9" t="s">
        <v>49</v>
      </c>
      <c r="B40" s="13" t="s">
        <v>2</v>
      </c>
      <c r="C40" s="13" t="s">
        <v>2</v>
      </c>
      <c r="D40" s="1" t="s">
        <v>5</v>
      </c>
      <c r="E40" s="44" t="s">
        <v>121</v>
      </c>
      <c r="F40" s="1" t="s">
        <v>122</v>
      </c>
      <c r="G40" s="2">
        <f t="shared" si="0"/>
        <v>7493</v>
      </c>
      <c r="H40" s="2">
        <f t="shared" si="1"/>
        <v>0</v>
      </c>
      <c r="I40" s="56">
        <v>0</v>
      </c>
      <c r="J40" s="53">
        <v>0</v>
      </c>
      <c r="K40" s="56">
        <v>5000</v>
      </c>
      <c r="L40" s="53">
        <v>0</v>
      </c>
      <c r="M40" s="48">
        <v>0</v>
      </c>
      <c r="N40" s="48">
        <v>0</v>
      </c>
      <c r="O40" s="54">
        <v>2493</v>
      </c>
      <c r="P40" s="53">
        <v>0</v>
      </c>
      <c r="Q40" s="40">
        <v>0</v>
      </c>
      <c r="R40" s="48">
        <v>0</v>
      </c>
      <c r="S40" s="22">
        <v>0</v>
      </c>
      <c r="T40" s="22">
        <v>0</v>
      </c>
      <c r="U40" s="23"/>
      <c r="V40" s="26"/>
      <c r="W40" s="4"/>
    </row>
    <row r="41" spans="1:23" x14ac:dyDescent="0.3">
      <c r="A41" s="9" t="s">
        <v>49</v>
      </c>
      <c r="B41" s="13" t="s">
        <v>280</v>
      </c>
      <c r="C41" s="13" t="s">
        <v>280</v>
      </c>
      <c r="D41" s="1" t="s">
        <v>5</v>
      </c>
      <c r="E41" s="44" t="s">
        <v>266</v>
      </c>
      <c r="F41" s="1" t="s">
        <v>267</v>
      </c>
      <c r="G41" s="2">
        <f t="shared" si="0"/>
        <v>2180</v>
      </c>
      <c r="H41" s="2">
        <f t="shared" si="1"/>
        <v>0</v>
      </c>
      <c r="I41" s="56">
        <v>0</v>
      </c>
      <c r="J41" s="53">
        <v>0</v>
      </c>
      <c r="K41" s="56">
        <v>0</v>
      </c>
      <c r="L41" s="53">
        <v>0</v>
      </c>
      <c r="M41" s="48">
        <v>0</v>
      </c>
      <c r="N41" s="48">
        <v>0</v>
      </c>
      <c r="O41" s="54">
        <v>2180</v>
      </c>
      <c r="P41" s="53">
        <v>0</v>
      </c>
      <c r="Q41" s="40">
        <v>0</v>
      </c>
      <c r="R41" s="48">
        <v>0</v>
      </c>
      <c r="S41" s="22">
        <v>0</v>
      </c>
      <c r="T41" s="22">
        <v>0</v>
      </c>
      <c r="U41" s="23"/>
      <c r="V41" s="26"/>
      <c r="W41" s="4"/>
    </row>
    <row r="42" spans="1:23" x14ac:dyDescent="0.3">
      <c r="A42" s="9" t="s">
        <v>49</v>
      </c>
      <c r="B42" s="13" t="s">
        <v>281</v>
      </c>
      <c r="C42" s="13" t="s">
        <v>281</v>
      </c>
      <c r="D42" s="1" t="s">
        <v>5</v>
      </c>
      <c r="E42" s="44" t="s">
        <v>283</v>
      </c>
      <c r="F42" s="1" t="s">
        <v>284</v>
      </c>
      <c r="G42" s="2">
        <f t="shared" si="0"/>
        <v>3700</v>
      </c>
      <c r="H42" s="2">
        <f t="shared" si="1"/>
        <v>0</v>
      </c>
      <c r="I42" s="56">
        <v>0</v>
      </c>
      <c r="J42" s="53">
        <v>0</v>
      </c>
      <c r="K42" s="56">
        <v>0</v>
      </c>
      <c r="L42" s="53">
        <v>0</v>
      </c>
      <c r="M42" s="48">
        <v>0</v>
      </c>
      <c r="N42" s="48">
        <v>0</v>
      </c>
      <c r="O42" s="54">
        <f>1200+2500</f>
        <v>3700</v>
      </c>
      <c r="P42" s="53">
        <v>0</v>
      </c>
      <c r="Q42" s="40">
        <v>0</v>
      </c>
      <c r="R42" s="48">
        <v>0</v>
      </c>
      <c r="S42" s="22">
        <v>0</v>
      </c>
      <c r="T42" s="22">
        <v>0</v>
      </c>
      <c r="U42" s="23"/>
      <c r="V42" s="26"/>
      <c r="W42" s="4"/>
    </row>
    <row r="43" spans="1:23" x14ac:dyDescent="0.3">
      <c r="A43" s="9" t="s">
        <v>49</v>
      </c>
      <c r="B43" s="13" t="s">
        <v>282</v>
      </c>
      <c r="C43" s="13" t="s">
        <v>282</v>
      </c>
      <c r="D43" s="1" t="s">
        <v>5</v>
      </c>
      <c r="E43" s="44" t="s">
        <v>285</v>
      </c>
      <c r="F43" s="1" t="s">
        <v>286</v>
      </c>
      <c r="G43" s="2">
        <f t="shared" si="0"/>
        <v>3700</v>
      </c>
      <c r="H43" s="2">
        <f t="shared" si="1"/>
        <v>0</v>
      </c>
      <c r="I43" s="56">
        <v>0</v>
      </c>
      <c r="J43" s="53">
        <v>0</v>
      </c>
      <c r="K43" s="56">
        <v>0</v>
      </c>
      <c r="L43" s="53">
        <v>0</v>
      </c>
      <c r="M43" s="48">
        <v>0</v>
      </c>
      <c r="N43" s="48">
        <v>0</v>
      </c>
      <c r="O43" s="54">
        <f>1200+2500</f>
        <v>3700</v>
      </c>
      <c r="P43" s="53">
        <v>0</v>
      </c>
      <c r="Q43" s="40">
        <v>0</v>
      </c>
      <c r="R43" s="48">
        <v>0</v>
      </c>
      <c r="S43" s="22">
        <v>0</v>
      </c>
      <c r="T43" s="22">
        <v>0</v>
      </c>
      <c r="U43" s="23"/>
      <c r="V43" s="26"/>
      <c r="W43" s="4"/>
    </row>
    <row r="44" spans="1:23" x14ac:dyDescent="0.3">
      <c r="A44" s="9" t="s">
        <v>50</v>
      </c>
      <c r="B44" s="14" t="s">
        <v>175</v>
      </c>
      <c r="C44" s="14" t="s">
        <v>175</v>
      </c>
      <c r="D44" s="1" t="s">
        <v>11</v>
      </c>
      <c r="E44" s="44" t="s">
        <v>178</v>
      </c>
      <c r="F44" s="1" t="s">
        <v>179</v>
      </c>
      <c r="G44" s="2">
        <f t="shared" si="0"/>
        <v>256</v>
      </c>
      <c r="H44" s="2">
        <f t="shared" si="1"/>
        <v>0</v>
      </c>
      <c r="I44" s="56">
        <v>0</v>
      </c>
      <c r="J44" s="53">
        <v>0</v>
      </c>
      <c r="K44" s="56">
        <v>0</v>
      </c>
      <c r="L44" s="53">
        <v>0</v>
      </c>
      <c r="M44" s="48">
        <v>0</v>
      </c>
      <c r="N44" s="48">
        <v>0</v>
      </c>
      <c r="O44" s="54">
        <v>256</v>
      </c>
      <c r="P44" s="53">
        <v>0</v>
      </c>
      <c r="Q44" s="40">
        <v>0</v>
      </c>
      <c r="R44" s="48">
        <v>0</v>
      </c>
      <c r="S44" s="22">
        <v>0</v>
      </c>
      <c r="T44" s="22">
        <v>0</v>
      </c>
      <c r="U44" s="23"/>
      <c r="V44" s="26"/>
      <c r="W44" s="4"/>
    </row>
    <row r="45" spans="1:23" x14ac:dyDescent="0.3">
      <c r="A45" s="9" t="s">
        <v>50</v>
      </c>
      <c r="B45" s="14" t="s">
        <v>176</v>
      </c>
      <c r="C45" s="14" t="s">
        <v>176</v>
      </c>
      <c r="D45" s="1" t="s">
        <v>11</v>
      </c>
      <c r="E45" s="44" t="s">
        <v>181</v>
      </c>
      <c r="F45" s="1" t="s">
        <v>180</v>
      </c>
      <c r="G45" s="2">
        <f t="shared" si="0"/>
        <v>0</v>
      </c>
      <c r="H45" s="2">
        <f t="shared" si="1"/>
        <v>0</v>
      </c>
      <c r="I45" s="56">
        <v>0</v>
      </c>
      <c r="J45" s="53">
        <v>0</v>
      </c>
      <c r="K45" s="56">
        <v>0</v>
      </c>
      <c r="L45" s="53">
        <v>0</v>
      </c>
      <c r="M45" s="48">
        <v>0</v>
      </c>
      <c r="N45" s="48">
        <v>0</v>
      </c>
      <c r="O45" s="54">
        <v>0</v>
      </c>
      <c r="P45" s="53">
        <v>0</v>
      </c>
      <c r="Q45" s="40">
        <v>0</v>
      </c>
      <c r="R45" s="48">
        <v>0</v>
      </c>
      <c r="S45" s="22">
        <v>0</v>
      </c>
      <c r="T45" s="22">
        <v>0</v>
      </c>
      <c r="U45" s="23"/>
      <c r="V45" s="26"/>
      <c r="W45" s="4"/>
    </row>
    <row r="46" spans="1:23" x14ac:dyDescent="0.3">
      <c r="A46" s="9" t="s">
        <v>50</v>
      </c>
      <c r="B46" s="14" t="s">
        <v>177</v>
      </c>
      <c r="C46" s="14" t="s">
        <v>177</v>
      </c>
      <c r="D46" s="1" t="s">
        <v>11</v>
      </c>
      <c r="E46" s="44" t="s">
        <v>124</v>
      </c>
      <c r="F46" s="1" t="s">
        <v>123</v>
      </c>
      <c r="G46" s="2">
        <f t="shared" si="0"/>
        <v>0</v>
      </c>
      <c r="H46" s="2">
        <f t="shared" si="1"/>
        <v>0</v>
      </c>
      <c r="I46" s="56">
        <v>0</v>
      </c>
      <c r="J46" s="53">
        <v>0</v>
      </c>
      <c r="K46" s="56">
        <v>0</v>
      </c>
      <c r="L46" s="53">
        <v>0</v>
      </c>
      <c r="M46" s="48">
        <v>0</v>
      </c>
      <c r="N46" s="48">
        <v>0</v>
      </c>
      <c r="O46" s="54">
        <v>0</v>
      </c>
      <c r="P46" s="53">
        <v>0</v>
      </c>
      <c r="Q46" s="40">
        <v>0</v>
      </c>
      <c r="R46" s="48">
        <v>0</v>
      </c>
      <c r="S46" s="22">
        <v>0</v>
      </c>
      <c r="T46" s="22">
        <v>0</v>
      </c>
      <c r="U46" s="23"/>
      <c r="V46" s="26"/>
      <c r="W46" s="4"/>
    </row>
    <row r="47" spans="1:23" x14ac:dyDescent="0.3">
      <c r="A47" s="9" t="s">
        <v>50</v>
      </c>
      <c r="B47" s="14" t="s">
        <v>199</v>
      </c>
      <c r="C47" s="14" t="s">
        <v>199</v>
      </c>
      <c r="D47" s="1" t="s">
        <v>70</v>
      </c>
      <c r="E47" s="44" t="s">
        <v>73</v>
      </c>
      <c r="F47" s="1" t="s">
        <v>72</v>
      </c>
      <c r="G47" s="2">
        <f t="shared" si="0"/>
        <v>78</v>
      </c>
      <c r="H47" s="2">
        <f t="shared" si="1"/>
        <v>0</v>
      </c>
      <c r="I47" s="56">
        <v>0</v>
      </c>
      <c r="J47" s="53">
        <v>0</v>
      </c>
      <c r="K47" s="56">
        <v>0</v>
      </c>
      <c r="L47" s="53">
        <v>0</v>
      </c>
      <c r="M47" s="48">
        <v>0</v>
      </c>
      <c r="N47" s="48">
        <v>0</v>
      </c>
      <c r="O47" s="54">
        <v>78</v>
      </c>
      <c r="P47" s="53">
        <v>0</v>
      </c>
      <c r="Q47" s="40">
        <v>0</v>
      </c>
      <c r="R47" s="48">
        <v>0</v>
      </c>
      <c r="S47" s="22">
        <v>0</v>
      </c>
      <c r="T47" s="22">
        <v>0</v>
      </c>
      <c r="U47" s="23"/>
      <c r="V47" s="26"/>
      <c r="W47" s="4"/>
    </row>
    <row r="48" spans="1:23" x14ac:dyDescent="0.3">
      <c r="A48" s="9" t="s">
        <v>50</v>
      </c>
      <c r="B48" s="14" t="s">
        <v>200</v>
      </c>
      <c r="C48" s="14" t="s">
        <v>200</v>
      </c>
      <c r="D48" s="1" t="s">
        <v>70</v>
      </c>
      <c r="E48" s="44" t="s">
        <v>202</v>
      </c>
      <c r="F48" s="1" t="s">
        <v>203</v>
      </c>
      <c r="G48" s="2">
        <f t="shared" si="0"/>
        <v>422</v>
      </c>
      <c r="H48" s="2">
        <f t="shared" si="1"/>
        <v>0</v>
      </c>
      <c r="I48" s="56">
        <v>0</v>
      </c>
      <c r="J48" s="53">
        <v>0</v>
      </c>
      <c r="K48" s="56">
        <v>2</v>
      </c>
      <c r="L48" s="53">
        <v>0</v>
      </c>
      <c r="M48" s="48">
        <v>0</v>
      </c>
      <c r="N48" s="48">
        <v>0</v>
      </c>
      <c r="O48" s="54">
        <v>420</v>
      </c>
      <c r="P48" s="53">
        <v>0</v>
      </c>
      <c r="Q48" s="40">
        <v>0</v>
      </c>
      <c r="R48" s="48">
        <v>0</v>
      </c>
      <c r="S48" s="22">
        <v>0</v>
      </c>
      <c r="T48" s="22">
        <v>0</v>
      </c>
      <c r="U48" s="23"/>
      <c r="V48" s="26"/>
      <c r="W48" s="4"/>
    </row>
    <row r="49" spans="1:23" x14ac:dyDescent="0.3">
      <c r="A49" s="9" t="s">
        <v>50</v>
      </c>
      <c r="B49" s="14" t="s">
        <v>80</v>
      </c>
      <c r="C49" s="14" t="s">
        <v>272</v>
      </c>
      <c r="D49" s="1" t="s">
        <v>70</v>
      </c>
      <c r="E49" s="44" t="s">
        <v>69</v>
      </c>
      <c r="F49" s="1" t="s">
        <v>71</v>
      </c>
      <c r="G49" s="2">
        <f t="shared" si="0"/>
        <v>0</v>
      </c>
      <c r="H49" s="2">
        <f t="shared" si="1"/>
        <v>0</v>
      </c>
      <c r="I49" s="56">
        <v>0</v>
      </c>
      <c r="J49" s="53">
        <v>0</v>
      </c>
      <c r="K49" s="56">
        <v>0</v>
      </c>
      <c r="L49" s="53">
        <v>0</v>
      </c>
      <c r="M49" s="48">
        <v>0</v>
      </c>
      <c r="N49" s="48">
        <v>0</v>
      </c>
      <c r="O49" s="54">
        <v>0</v>
      </c>
      <c r="P49" s="53">
        <v>0</v>
      </c>
      <c r="Q49" s="40">
        <v>0</v>
      </c>
      <c r="R49" s="48">
        <v>0</v>
      </c>
      <c r="S49" s="22">
        <v>0</v>
      </c>
      <c r="T49" s="22">
        <v>0</v>
      </c>
      <c r="U49" s="23"/>
      <c r="V49" s="26"/>
      <c r="W49" s="4"/>
    </row>
    <row r="50" spans="1:23" x14ac:dyDescent="0.3">
      <c r="A50" s="9" t="s">
        <v>50</v>
      </c>
      <c r="B50" s="14" t="s">
        <v>82</v>
      </c>
      <c r="C50" s="14" t="s">
        <v>198</v>
      </c>
      <c r="D50" s="1" t="s">
        <v>70</v>
      </c>
      <c r="E50" s="44" t="s">
        <v>96</v>
      </c>
      <c r="F50" s="1" t="s">
        <v>97</v>
      </c>
      <c r="G50" s="2">
        <f t="shared" si="0"/>
        <v>0</v>
      </c>
      <c r="H50" s="2">
        <f t="shared" si="1"/>
        <v>0</v>
      </c>
      <c r="I50" s="56">
        <v>0</v>
      </c>
      <c r="J50" s="53">
        <v>0</v>
      </c>
      <c r="K50" s="56">
        <v>0</v>
      </c>
      <c r="L50" s="53">
        <v>0</v>
      </c>
      <c r="M50" s="48">
        <v>0</v>
      </c>
      <c r="N50" s="48">
        <v>0</v>
      </c>
      <c r="O50" s="54">
        <v>0</v>
      </c>
      <c r="P50" s="53">
        <v>0</v>
      </c>
      <c r="Q50" s="40">
        <v>0</v>
      </c>
      <c r="R50" s="48">
        <v>0</v>
      </c>
      <c r="S50" s="22">
        <v>0</v>
      </c>
      <c r="T50" s="22">
        <v>0</v>
      </c>
      <c r="U50" s="23"/>
      <c r="V50" s="26"/>
      <c r="W50" s="4"/>
    </row>
    <row r="51" spans="1:23" x14ac:dyDescent="0.3">
      <c r="A51" s="9" t="s">
        <v>50</v>
      </c>
      <c r="B51" s="14" t="s">
        <v>81</v>
      </c>
      <c r="C51" s="14" t="s">
        <v>190</v>
      </c>
      <c r="D51" s="1" t="s">
        <v>70</v>
      </c>
      <c r="E51" s="44" t="s">
        <v>77</v>
      </c>
      <c r="F51" s="1" t="s">
        <v>76</v>
      </c>
      <c r="G51" s="2">
        <f t="shared" si="0"/>
        <v>0</v>
      </c>
      <c r="H51" s="2">
        <f t="shared" si="1"/>
        <v>0</v>
      </c>
      <c r="I51" s="56">
        <v>0</v>
      </c>
      <c r="J51" s="53">
        <v>0</v>
      </c>
      <c r="K51" s="56">
        <v>0</v>
      </c>
      <c r="L51" s="53">
        <v>0</v>
      </c>
      <c r="M51" s="48">
        <v>0</v>
      </c>
      <c r="N51" s="48">
        <v>0</v>
      </c>
      <c r="O51" s="54">
        <v>0</v>
      </c>
      <c r="P51" s="53">
        <v>0</v>
      </c>
      <c r="Q51" s="40">
        <v>0</v>
      </c>
      <c r="R51" s="48">
        <v>0</v>
      </c>
      <c r="S51" s="22">
        <v>0</v>
      </c>
      <c r="T51" s="22">
        <v>0</v>
      </c>
      <c r="U51" s="23"/>
      <c r="V51" s="26"/>
      <c r="W51" s="4"/>
    </row>
    <row r="52" spans="1:23" x14ac:dyDescent="0.3">
      <c r="A52" s="9" t="s">
        <v>50</v>
      </c>
      <c r="B52" s="14" t="s">
        <v>92</v>
      </c>
      <c r="C52" s="14" t="s">
        <v>191</v>
      </c>
      <c r="D52" s="1" t="s">
        <v>70</v>
      </c>
      <c r="E52" s="44" t="s">
        <v>103</v>
      </c>
      <c r="F52" s="1" t="s">
        <v>102</v>
      </c>
      <c r="G52" s="2">
        <f t="shared" si="0"/>
        <v>5</v>
      </c>
      <c r="H52" s="2">
        <f t="shared" si="1"/>
        <v>0</v>
      </c>
      <c r="I52" s="56">
        <v>0</v>
      </c>
      <c r="J52" s="53">
        <v>0</v>
      </c>
      <c r="K52" s="56">
        <v>0</v>
      </c>
      <c r="L52" s="53">
        <v>0</v>
      </c>
      <c r="M52" s="48">
        <v>0</v>
      </c>
      <c r="N52" s="48">
        <v>0</v>
      </c>
      <c r="O52" s="54">
        <v>5</v>
      </c>
      <c r="P52" s="53">
        <v>0</v>
      </c>
      <c r="Q52" s="40">
        <v>0</v>
      </c>
      <c r="R52" s="48">
        <v>0</v>
      </c>
      <c r="S52" s="22">
        <v>0</v>
      </c>
      <c r="T52" s="22">
        <v>0</v>
      </c>
      <c r="U52" s="23"/>
      <c r="V52" s="26"/>
      <c r="W52" s="4"/>
    </row>
    <row r="53" spans="1:23" x14ac:dyDescent="0.3">
      <c r="A53" s="9" t="s">
        <v>50</v>
      </c>
      <c r="B53" s="14" t="s">
        <v>196</v>
      </c>
      <c r="C53" s="14" t="s">
        <v>192</v>
      </c>
      <c r="D53" s="1" t="s">
        <v>1</v>
      </c>
      <c r="E53" s="44" t="s">
        <v>1</v>
      </c>
      <c r="F53" s="1" t="s">
        <v>326</v>
      </c>
      <c r="G53" s="2">
        <f t="shared" si="0"/>
        <v>0</v>
      </c>
      <c r="H53" s="2">
        <f t="shared" si="1"/>
        <v>0</v>
      </c>
      <c r="I53" s="56">
        <v>0</v>
      </c>
      <c r="J53" s="53">
        <v>0</v>
      </c>
      <c r="K53" s="56">
        <v>0</v>
      </c>
      <c r="L53" s="53">
        <v>0</v>
      </c>
      <c r="M53" s="48">
        <v>0</v>
      </c>
      <c r="N53" s="48">
        <v>0</v>
      </c>
      <c r="O53" s="54">
        <v>0</v>
      </c>
      <c r="P53" s="53">
        <v>0</v>
      </c>
      <c r="Q53" s="40">
        <v>0</v>
      </c>
      <c r="R53" s="48">
        <v>0</v>
      </c>
      <c r="S53" s="22">
        <v>0</v>
      </c>
      <c r="T53" s="22">
        <v>0</v>
      </c>
      <c r="U53" s="23"/>
      <c r="V53" s="26"/>
      <c r="W53" s="4"/>
    </row>
    <row r="54" spans="1:23" x14ac:dyDescent="0.3">
      <c r="A54" s="9" t="s">
        <v>50</v>
      </c>
      <c r="B54" s="14" t="s">
        <v>197</v>
      </c>
      <c r="C54" s="14" t="s">
        <v>193</v>
      </c>
      <c r="D54" s="1" t="s">
        <v>70</v>
      </c>
      <c r="E54" s="44" t="s">
        <v>194</v>
      </c>
      <c r="F54" s="1" t="s">
        <v>195</v>
      </c>
      <c r="G54" s="2">
        <f t="shared" si="0"/>
        <v>0</v>
      </c>
      <c r="H54" s="2">
        <f t="shared" si="1"/>
        <v>0</v>
      </c>
      <c r="I54" s="56">
        <v>0</v>
      </c>
      <c r="J54" s="53">
        <v>0</v>
      </c>
      <c r="K54" s="56">
        <v>0</v>
      </c>
      <c r="L54" s="53">
        <v>0</v>
      </c>
      <c r="M54" s="48">
        <v>0</v>
      </c>
      <c r="N54" s="48">
        <v>0</v>
      </c>
      <c r="O54" s="54">
        <v>0</v>
      </c>
      <c r="P54" s="53">
        <v>0</v>
      </c>
      <c r="Q54" s="40">
        <v>0</v>
      </c>
      <c r="R54" s="48">
        <v>0</v>
      </c>
      <c r="S54" s="22">
        <v>0</v>
      </c>
      <c r="T54" s="22">
        <v>0</v>
      </c>
      <c r="U54" s="23"/>
      <c r="V54" s="26"/>
      <c r="W54" s="4"/>
    </row>
    <row r="55" spans="1:23" x14ac:dyDescent="0.3">
      <c r="A55" s="9" t="s">
        <v>50</v>
      </c>
      <c r="B55" s="14" t="s">
        <v>51</v>
      </c>
      <c r="C55" s="14" t="s">
        <v>117</v>
      </c>
      <c r="D55" s="1" t="s">
        <v>70</v>
      </c>
      <c r="E55" s="44" t="s">
        <v>75</v>
      </c>
      <c r="F55" s="1" t="s">
        <v>74</v>
      </c>
      <c r="G55" s="2">
        <f>I55+K55+M55+O55+Q55+S55</f>
        <v>3293</v>
      </c>
      <c r="H55" s="2">
        <f t="shared" si="1"/>
        <v>0</v>
      </c>
      <c r="I55" s="56">
        <v>0</v>
      </c>
      <c r="J55" s="53">
        <v>0</v>
      </c>
      <c r="K55" s="56">
        <v>22</v>
      </c>
      <c r="L55" s="53">
        <v>0</v>
      </c>
      <c r="M55" s="48">
        <v>0</v>
      </c>
      <c r="N55" s="48">
        <v>0</v>
      </c>
      <c r="O55" s="54">
        <v>3271</v>
      </c>
      <c r="P55" s="53">
        <v>0</v>
      </c>
      <c r="Q55" s="40">
        <v>0</v>
      </c>
      <c r="R55" s="48">
        <v>0</v>
      </c>
      <c r="S55" s="22">
        <v>0</v>
      </c>
      <c r="T55" s="22">
        <v>0</v>
      </c>
      <c r="U55" s="23"/>
      <c r="V55" s="26"/>
      <c r="W55" s="4"/>
    </row>
    <row r="56" spans="1:23" x14ac:dyDescent="0.3">
      <c r="A56" s="9" t="s">
        <v>50</v>
      </c>
      <c r="B56" s="14" t="s">
        <v>83</v>
      </c>
      <c r="C56" s="14" t="s">
        <v>83</v>
      </c>
      <c r="D56" s="1" t="s">
        <v>70</v>
      </c>
      <c r="E56" s="44" t="s">
        <v>98</v>
      </c>
      <c r="F56" s="1" t="s">
        <v>99</v>
      </c>
      <c r="G56" s="2">
        <f t="shared" ref="G56:G98" si="2">I56+K56+M56+O56+Q56+S56</f>
        <v>1</v>
      </c>
      <c r="H56" s="2">
        <f t="shared" si="1"/>
        <v>0</v>
      </c>
      <c r="I56" s="56">
        <v>0</v>
      </c>
      <c r="J56" s="53">
        <v>0</v>
      </c>
      <c r="K56" s="56">
        <v>0</v>
      </c>
      <c r="L56" s="53">
        <v>0</v>
      </c>
      <c r="M56" s="48">
        <v>0</v>
      </c>
      <c r="N56" s="48">
        <v>0</v>
      </c>
      <c r="O56" s="54">
        <v>1</v>
      </c>
      <c r="P56" s="53">
        <v>0</v>
      </c>
      <c r="Q56" s="40">
        <v>0</v>
      </c>
      <c r="R56" s="48">
        <v>0</v>
      </c>
      <c r="S56" s="22">
        <v>0</v>
      </c>
      <c r="T56" s="22">
        <v>0</v>
      </c>
      <c r="U56" s="23"/>
      <c r="V56" s="26"/>
      <c r="W56" s="4"/>
    </row>
    <row r="57" spans="1:23" x14ac:dyDescent="0.3">
      <c r="A57" s="9" t="s">
        <v>50</v>
      </c>
      <c r="B57" s="14" t="s">
        <v>52</v>
      </c>
      <c r="C57" s="14" t="s">
        <v>118</v>
      </c>
      <c r="D57" s="1" t="s">
        <v>70</v>
      </c>
      <c r="E57" s="44" t="s">
        <v>79</v>
      </c>
      <c r="F57" s="1" t="s">
        <v>78</v>
      </c>
      <c r="G57" s="2">
        <f t="shared" si="2"/>
        <v>0</v>
      </c>
      <c r="H57" s="2">
        <f t="shared" si="1"/>
        <v>0</v>
      </c>
      <c r="I57" s="56">
        <v>0</v>
      </c>
      <c r="J57" s="53">
        <v>0</v>
      </c>
      <c r="K57" s="56">
        <v>0</v>
      </c>
      <c r="L57" s="53">
        <v>0</v>
      </c>
      <c r="M57" s="48">
        <v>0</v>
      </c>
      <c r="N57" s="48">
        <v>0</v>
      </c>
      <c r="O57" s="54">
        <v>0</v>
      </c>
      <c r="P57" s="53">
        <v>0</v>
      </c>
      <c r="Q57" s="40">
        <v>0</v>
      </c>
      <c r="R57" s="48">
        <v>0</v>
      </c>
      <c r="S57" s="22">
        <v>0</v>
      </c>
      <c r="T57" s="22">
        <v>0</v>
      </c>
      <c r="U57" s="23"/>
      <c r="V57" s="26"/>
      <c r="W57" s="4"/>
    </row>
    <row r="58" spans="1:23" x14ac:dyDescent="0.3">
      <c r="A58" s="9" t="s">
        <v>84</v>
      </c>
      <c r="B58" s="27" t="s">
        <v>85</v>
      </c>
      <c r="C58" s="27" t="s">
        <v>85</v>
      </c>
      <c r="D58" s="1" t="s">
        <v>1</v>
      </c>
      <c r="E58" s="44" t="s">
        <v>1</v>
      </c>
      <c r="F58" s="1" t="s">
        <v>326</v>
      </c>
      <c r="G58" s="2">
        <f t="shared" si="2"/>
        <v>0</v>
      </c>
      <c r="H58" s="2">
        <f t="shared" si="1"/>
        <v>0</v>
      </c>
      <c r="I58" s="56">
        <v>0</v>
      </c>
      <c r="J58" s="53">
        <v>0</v>
      </c>
      <c r="K58" s="56">
        <v>0</v>
      </c>
      <c r="L58" s="53">
        <v>0</v>
      </c>
      <c r="M58" s="48">
        <v>0</v>
      </c>
      <c r="N58" s="48">
        <v>0</v>
      </c>
      <c r="O58" s="54">
        <v>0</v>
      </c>
      <c r="P58" s="53">
        <v>0</v>
      </c>
      <c r="Q58" s="40">
        <v>0</v>
      </c>
      <c r="R58" s="48">
        <v>0</v>
      </c>
      <c r="S58" s="22">
        <v>0</v>
      </c>
      <c r="T58" s="22">
        <v>0</v>
      </c>
      <c r="U58" s="23"/>
      <c r="V58" s="26"/>
      <c r="W58" s="4"/>
    </row>
    <row r="59" spans="1:23" x14ac:dyDescent="0.3">
      <c r="A59" s="9" t="s">
        <v>84</v>
      </c>
      <c r="B59" s="27" t="s">
        <v>93</v>
      </c>
      <c r="C59" s="27" t="s">
        <v>93</v>
      </c>
      <c r="D59" s="1" t="s">
        <v>1</v>
      </c>
      <c r="E59" s="44" t="s">
        <v>1</v>
      </c>
      <c r="F59" s="1" t="s">
        <v>326</v>
      </c>
      <c r="G59" s="2">
        <f t="shared" si="2"/>
        <v>0</v>
      </c>
      <c r="H59" s="2">
        <f t="shared" si="1"/>
        <v>0</v>
      </c>
      <c r="I59" s="56">
        <v>0</v>
      </c>
      <c r="J59" s="53">
        <v>0</v>
      </c>
      <c r="K59" s="56">
        <v>0</v>
      </c>
      <c r="L59" s="53">
        <v>0</v>
      </c>
      <c r="M59" s="48">
        <v>0</v>
      </c>
      <c r="N59" s="48">
        <v>0</v>
      </c>
      <c r="O59" s="54">
        <v>0</v>
      </c>
      <c r="P59" s="53">
        <v>0</v>
      </c>
      <c r="Q59" s="40">
        <v>0</v>
      </c>
      <c r="R59" s="48">
        <v>0</v>
      </c>
      <c r="S59" s="22">
        <v>0</v>
      </c>
      <c r="T59" s="22">
        <v>0</v>
      </c>
      <c r="U59" s="23"/>
      <c r="V59" s="26"/>
      <c r="W59" s="4"/>
    </row>
    <row r="60" spans="1:23" x14ac:dyDescent="0.3">
      <c r="A60" s="9" t="s">
        <v>84</v>
      </c>
      <c r="B60" s="27" t="s">
        <v>94</v>
      </c>
      <c r="C60" s="27" t="s">
        <v>94</v>
      </c>
      <c r="D60" s="1" t="s">
        <v>1</v>
      </c>
      <c r="E60" s="44" t="s">
        <v>1</v>
      </c>
      <c r="F60" s="1" t="s">
        <v>326</v>
      </c>
      <c r="G60" s="2">
        <f t="shared" si="2"/>
        <v>0</v>
      </c>
      <c r="H60" s="2">
        <f t="shared" si="1"/>
        <v>0</v>
      </c>
      <c r="I60" s="56">
        <v>0</v>
      </c>
      <c r="J60" s="53">
        <v>0</v>
      </c>
      <c r="K60" s="56">
        <v>0</v>
      </c>
      <c r="L60" s="53">
        <v>0</v>
      </c>
      <c r="M60" s="48">
        <v>0</v>
      </c>
      <c r="N60" s="48">
        <v>0</v>
      </c>
      <c r="O60" s="54">
        <v>0</v>
      </c>
      <c r="P60" s="53">
        <v>0</v>
      </c>
      <c r="Q60" s="40">
        <v>0</v>
      </c>
      <c r="R60" s="48">
        <v>0</v>
      </c>
      <c r="S60" s="22">
        <v>0</v>
      </c>
      <c r="T60" s="22">
        <v>0</v>
      </c>
      <c r="U60" s="23"/>
      <c r="V60" s="26"/>
      <c r="W60" s="4"/>
    </row>
    <row r="61" spans="1:23" x14ac:dyDescent="0.3">
      <c r="A61" s="9" t="s">
        <v>84</v>
      </c>
      <c r="B61" s="27" t="s">
        <v>86</v>
      </c>
      <c r="C61" s="27" t="s">
        <v>86</v>
      </c>
      <c r="D61" s="1" t="s">
        <v>1</v>
      </c>
      <c r="E61" s="44" t="s">
        <v>1</v>
      </c>
      <c r="F61" s="1" t="s">
        <v>326</v>
      </c>
      <c r="G61" s="2">
        <f t="shared" si="2"/>
        <v>0</v>
      </c>
      <c r="H61" s="2">
        <f t="shared" si="1"/>
        <v>0</v>
      </c>
      <c r="I61" s="56">
        <v>0</v>
      </c>
      <c r="J61" s="53">
        <v>0</v>
      </c>
      <c r="K61" s="56">
        <v>0</v>
      </c>
      <c r="L61" s="53">
        <v>0</v>
      </c>
      <c r="M61" s="48">
        <v>0</v>
      </c>
      <c r="N61" s="48">
        <v>0</v>
      </c>
      <c r="O61" s="54">
        <v>0</v>
      </c>
      <c r="P61" s="53">
        <v>0</v>
      </c>
      <c r="Q61" s="40">
        <v>0</v>
      </c>
      <c r="R61" s="48">
        <v>0</v>
      </c>
      <c r="S61" s="22">
        <v>0</v>
      </c>
      <c r="T61" s="22">
        <v>0</v>
      </c>
      <c r="U61" s="23"/>
      <c r="V61" s="26"/>
      <c r="W61" s="4"/>
    </row>
    <row r="62" spans="1:23" x14ac:dyDescent="0.3">
      <c r="A62" s="9" t="s">
        <v>84</v>
      </c>
      <c r="B62" s="27" t="s">
        <v>87</v>
      </c>
      <c r="C62" s="27" t="s">
        <v>87</v>
      </c>
      <c r="D62" s="1" t="s">
        <v>1</v>
      </c>
      <c r="E62" s="44" t="s">
        <v>1</v>
      </c>
      <c r="F62" s="1" t="s">
        <v>326</v>
      </c>
      <c r="G62" s="2">
        <f t="shared" si="2"/>
        <v>0</v>
      </c>
      <c r="H62" s="2">
        <f t="shared" si="1"/>
        <v>0</v>
      </c>
      <c r="I62" s="56">
        <v>0</v>
      </c>
      <c r="J62" s="53">
        <v>0</v>
      </c>
      <c r="K62" s="56">
        <v>0</v>
      </c>
      <c r="L62" s="53">
        <v>0</v>
      </c>
      <c r="M62" s="48">
        <v>0</v>
      </c>
      <c r="N62" s="48">
        <v>0</v>
      </c>
      <c r="O62" s="54">
        <v>0</v>
      </c>
      <c r="P62" s="53">
        <v>0</v>
      </c>
      <c r="Q62" s="40">
        <v>0</v>
      </c>
      <c r="R62" s="48">
        <v>0</v>
      </c>
      <c r="S62" s="22">
        <v>0</v>
      </c>
      <c r="T62" s="22">
        <v>0</v>
      </c>
      <c r="U62" s="23"/>
      <c r="V62" s="26"/>
      <c r="W62" s="4"/>
    </row>
    <row r="63" spans="1:23" x14ac:dyDescent="0.3">
      <c r="A63" s="9" t="s">
        <v>84</v>
      </c>
      <c r="B63" s="27" t="s">
        <v>88</v>
      </c>
      <c r="C63" s="27" t="s">
        <v>88</v>
      </c>
      <c r="D63" s="1" t="s">
        <v>1</v>
      </c>
      <c r="E63" s="44" t="s">
        <v>1</v>
      </c>
      <c r="F63" s="1" t="s">
        <v>326</v>
      </c>
      <c r="G63" s="2">
        <f t="shared" si="2"/>
        <v>0</v>
      </c>
      <c r="H63" s="2">
        <f t="shared" si="1"/>
        <v>0</v>
      </c>
      <c r="I63" s="56">
        <v>0</v>
      </c>
      <c r="J63" s="53">
        <v>0</v>
      </c>
      <c r="K63" s="56">
        <v>0</v>
      </c>
      <c r="L63" s="53">
        <v>0</v>
      </c>
      <c r="M63" s="48">
        <v>0</v>
      </c>
      <c r="N63" s="48">
        <v>0</v>
      </c>
      <c r="O63" s="54">
        <v>0</v>
      </c>
      <c r="P63" s="53">
        <v>0</v>
      </c>
      <c r="Q63" s="40">
        <v>0</v>
      </c>
      <c r="R63" s="48">
        <v>0</v>
      </c>
      <c r="S63" s="22">
        <v>0</v>
      </c>
      <c r="T63" s="22">
        <v>0</v>
      </c>
      <c r="U63" s="23"/>
      <c r="V63" s="26"/>
      <c r="W63" s="4"/>
    </row>
    <row r="64" spans="1:23" x14ac:dyDescent="0.3">
      <c r="A64" s="9" t="s">
        <v>84</v>
      </c>
      <c r="B64" s="27" t="s">
        <v>89</v>
      </c>
      <c r="C64" s="27" t="s">
        <v>89</v>
      </c>
      <c r="D64" s="1" t="s">
        <v>1</v>
      </c>
      <c r="E64" s="44" t="s">
        <v>1</v>
      </c>
      <c r="F64" s="1" t="s">
        <v>326</v>
      </c>
      <c r="G64" s="2">
        <f t="shared" si="2"/>
        <v>0</v>
      </c>
      <c r="H64" s="2">
        <f t="shared" si="1"/>
        <v>0</v>
      </c>
      <c r="I64" s="56">
        <v>0</v>
      </c>
      <c r="J64" s="53">
        <v>0</v>
      </c>
      <c r="K64" s="56">
        <v>0</v>
      </c>
      <c r="L64" s="53">
        <v>0</v>
      </c>
      <c r="M64" s="48">
        <v>0</v>
      </c>
      <c r="N64" s="48">
        <v>0</v>
      </c>
      <c r="O64" s="54">
        <v>0</v>
      </c>
      <c r="P64" s="53">
        <v>0</v>
      </c>
      <c r="Q64" s="40">
        <v>0</v>
      </c>
      <c r="R64" s="48">
        <v>0</v>
      </c>
      <c r="S64" s="22">
        <v>0</v>
      </c>
      <c r="T64" s="22">
        <v>0</v>
      </c>
      <c r="U64" s="23"/>
      <c r="V64" s="26"/>
      <c r="W64" s="4"/>
    </row>
    <row r="65" spans="1:23" x14ac:dyDescent="0.3">
      <c r="A65" s="9" t="s">
        <v>84</v>
      </c>
      <c r="B65" s="27" t="s">
        <v>90</v>
      </c>
      <c r="C65" s="27" t="s">
        <v>90</v>
      </c>
      <c r="D65" s="1" t="s">
        <v>1</v>
      </c>
      <c r="E65" s="44" t="s">
        <v>1</v>
      </c>
      <c r="F65" s="1" t="s">
        <v>326</v>
      </c>
      <c r="G65" s="2">
        <f t="shared" si="2"/>
        <v>0</v>
      </c>
      <c r="H65" s="2">
        <f t="shared" si="1"/>
        <v>0</v>
      </c>
      <c r="I65" s="56">
        <v>0</v>
      </c>
      <c r="J65" s="53">
        <v>0</v>
      </c>
      <c r="K65" s="56">
        <v>0</v>
      </c>
      <c r="L65" s="53">
        <v>0</v>
      </c>
      <c r="M65" s="48">
        <v>0</v>
      </c>
      <c r="N65" s="48">
        <v>0</v>
      </c>
      <c r="O65" s="54">
        <v>0</v>
      </c>
      <c r="P65" s="53">
        <v>0</v>
      </c>
      <c r="Q65" s="40">
        <v>0</v>
      </c>
      <c r="R65" s="48">
        <v>0</v>
      </c>
      <c r="S65" s="22">
        <v>0</v>
      </c>
      <c r="T65" s="22">
        <v>0</v>
      </c>
      <c r="U65" s="23"/>
      <c r="V65" s="26"/>
      <c r="W65" s="4"/>
    </row>
    <row r="66" spans="1:23" x14ac:dyDescent="0.3">
      <c r="A66" s="9" t="s">
        <v>84</v>
      </c>
      <c r="B66" s="27" t="s">
        <v>91</v>
      </c>
      <c r="C66" s="27" t="s">
        <v>91</v>
      </c>
      <c r="D66" s="1" t="s">
        <v>1</v>
      </c>
      <c r="E66" s="44" t="s">
        <v>1</v>
      </c>
      <c r="F66" s="1" t="s">
        <v>326</v>
      </c>
      <c r="G66" s="2">
        <f t="shared" si="2"/>
        <v>0</v>
      </c>
      <c r="H66" s="2">
        <f t="shared" si="1"/>
        <v>0</v>
      </c>
      <c r="I66" s="56">
        <v>0</v>
      </c>
      <c r="J66" s="53">
        <v>0</v>
      </c>
      <c r="K66" s="56">
        <v>0</v>
      </c>
      <c r="L66" s="53">
        <v>0</v>
      </c>
      <c r="M66" s="48">
        <v>0</v>
      </c>
      <c r="N66" s="48">
        <v>0</v>
      </c>
      <c r="O66" s="54">
        <v>0</v>
      </c>
      <c r="P66" s="53">
        <v>0</v>
      </c>
      <c r="Q66" s="40">
        <v>0</v>
      </c>
      <c r="R66" s="48">
        <v>0</v>
      </c>
      <c r="S66" s="22">
        <v>0</v>
      </c>
      <c r="T66" s="22">
        <v>0</v>
      </c>
      <c r="U66" s="23"/>
      <c r="V66" s="26"/>
      <c r="W66" s="4"/>
    </row>
    <row r="67" spans="1:23" x14ac:dyDescent="0.3">
      <c r="A67" s="9" t="s">
        <v>84</v>
      </c>
      <c r="B67" s="27" t="s">
        <v>95</v>
      </c>
      <c r="C67" s="27" t="s">
        <v>95</v>
      </c>
      <c r="D67" s="1" t="s">
        <v>1</v>
      </c>
      <c r="E67" s="44" t="s">
        <v>1</v>
      </c>
      <c r="F67" s="1" t="s">
        <v>326</v>
      </c>
      <c r="G67" s="2">
        <f t="shared" si="2"/>
        <v>0</v>
      </c>
      <c r="H67" s="2">
        <f t="shared" si="1"/>
        <v>0</v>
      </c>
      <c r="I67" s="56">
        <v>0</v>
      </c>
      <c r="J67" s="53">
        <v>0</v>
      </c>
      <c r="K67" s="56">
        <v>0</v>
      </c>
      <c r="L67" s="53">
        <v>0</v>
      </c>
      <c r="M67" s="48">
        <v>0</v>
      </c>
      <c r="N67" s="48">
        <v>0</v>
      </c>
      <c r="O67" s="54">
        <v>0</v>
      </c>
      <c r="P67" s="53">
        <v>0</v>
      </c>
      <c r="Q67" s="40">
        <v>0</v>
      </c>
      <c r="R67" s="48">
        <v>0</v>
      </c>
      <c r="S67" s="22">
        <v>0</v>
      </c>
      <c r="T67" s="22">
        <v>0</v>
      </c>
      <c r="U67" s="23"/>
      <c r="V67" s="26"/>
      <c r="W67" s="4"/>
    </row>
    <row r="68" spans="1:23" x14ac:dyDescent="0.3">
      <c r="A68" s="9" t="s">
        <v>53</v>
      </c>
      <c r="B68" s="28" t="s">
        <v>182</v>
      </c>
      <c r="C68" s="28" t="s">
        <v>119</v>
      </c>
      <c r="D68" s="1" t="s">
        <v>11</v>
      </c>
      <c r="E68" s="44" t="s">
        <v>297</v>
      </c>
      <c r="F68" s="1" t="s">
        <v>30</v>
      </c>
      <c r="G68" s="2">
        <f t="shared" si="2"/>
        <v>30</v>
      </c>
      <c r="H68" s="2">
        <f t="shared" si="1"/>
        <v>0</v>
      </c>
      <c r="I68" s="56">
        <v>30</v>
      </c>
      <c r="J68" s="53">
        <v>0</v>
      </c>
      <c r="K68" s="56">
        <v>0</v>
      </c>
      <c r="L68" s="53">
        <v>0</v>
      </c>
      <c r="M68" s="48">
        <v>0</v>
      </c>
      <c r="N68" s="48">
        <v>0</v>
      </c>
      <c r="O68" s="54">
        <v>0</v>
      </c>
      <c r="P68" s="53">
        <v>0</v>
      </c>
      <c r="Q68" s="40">
        <v>0</v>
      </c>
      <c r="R68" s="48">
        <v>0</v>
      </c>
      <c r="S68" s="22">
        <v>0</v>
      </c>
      <c r="T68" s="22">
        <v>0</v>
      </c>
      <c r="U68" s="23"/>
      <c r="V68" s="26"/>
      <c r="W68" s="4"/>
    </row>
    <row r="69" spans="1:23" x14ac:dyDescent="0.3">
      <c r="A69" s="32" t="s">
        <v>53</v>
      </c>
      <c r="B69" s="28" t="s">
        <v>125</v>
      </c>
      <c r="C69" s="28" t="s">
        <v>201</v>
      </c>
      <c r="D69" s="1" t="s">
        <v>11</v>
      </c>
      <c r="E69" s="44" t="s">
        <v>100</v>
      </c>
      <c r="F69" s="1" t="s">
        <v>101</v>
      </c>
      <c r="G69" s="2">
        <f t="shared" si="2"/>
        <v>353</v>
      </c>
      <c r="H69" s="2">
        <f t="shared" si="1"/>
        <v>0</v>
      </c>
      <c r="I69" s="56">
        <v>2</v>
      </c>
      <c r="J69" s="53">
        <v>0</v>
      </c>
      <c r="K69" s="56">
        <v>351</v>
      </c>
      <c r="L69" s="53">
        <v>0</v>
      </c>
      <c r="M69" s="48">
        <v>0</v>
      </c>
      <c r="N69" s="48">
        <v>0</v>
      </c>
      <c r="O69" s="54">
        <v>0</v>
      </c>
      <c r="P69" s="53">
        <v>0</v>
      </c>
      <c r="Q69" s="40">
        <v>0</v>
      </c>
      <c r="R69" s="48">
        <v>0</v>
      </c>
      <c r="S69" s="22">
        <v>0</v>
      </c>
      <c r="T69" s="22">
        <v>0</v>
      </c>
      <c r="U69" s="23"/>
      <c r="V69" s="26"/>
      <c r="W69" s="4"/>
    </row>
    <row r="70" spans="1:23" x14ac:dyDescent="0.3">
      <c r="A70" s="33" t="s">
        <v>126</v>
      </c>
      <c r="B70" s="34" t="s">
        <v>127</v>
      </c>
      <c r="C70" s="34" t="s">
        <v>136</v>
      </c>
      <c r="D70" s="11" t="s">
        <v>142</v>
      </c>
      <c r="E70" s="45" t="s">
        <v>139</v>
      </c>
      <c r="F70" s="11" t="s">
        <v>143</v>
      </c>
      <c r="G70" s="2">
        <f t="shared" si="2"/>
        <v>0</v>
      </c>
      <c r="H70" s="2">
        <f t="shared" si="1"/>
        <v>0</v>
      </c>
      <c r="I70" s="56">
        <v>0</v>
      </c>
      <c r="J70" s="53">
        <v>0</v>
      </c>
      <c r="K70" s="56">
        <v>0</v>
      </c>
      <c r="L70" s="53">
        <v>0</v>
      </c>
      <c r="M70" s="48">
        <v>0</v>
      </c>
      <c r="N70" s="48">
        <v>0</v>
      </c>
      <c r="O70" s="54">
        <v>0</v>
      </c>
      <c r="P70" s="53">
        <v>0</v>
      </c>
      <c r="Q70" s="40">
        <v>0</v>
      </c>
      <c r="R70" s="48">
        <v>0</v>
      </c>
      <c r="S70" s="22">
        <v>0</v>
      </c>
      <c r="T70" s="22">
        <v>0</v>
      </c>
      <c r="U70" s="23"/>
      <c r="V70" s="26"/>
      <c r="W70" s="11"/>
    </row>
    <row r="71" spans="1:23" x14ac:dyDescent="0.3">
      <c r="A71" s="33" t="s">
        <v>126</v>
      </c>
      <c r="B71" s="34" t="s">
        <v>128</v>
      </c>
      <c r="C71" s="34" t="s">
        <v>137</v>
      </c>
      <c r="D71" s="11" t="s">
        <v>142</v>
      </c>
      <c r="E71" s="45" t="s">
        <v>140</v>
      </c>
      <c r="F71" s="11" t="s">
        <v>144</v>
      </c>
      <c r="G71" s="2">
        <f t="shared" si="2"/>
        <v>0</v>
      </c>
      <c r="H71" s="2">
        <f t="shared" si="1"/>
        <v>0</v>
      </c>
      <c r="I71" s="56">
        <v>0</v>
      </c>
      <c r="J71" s="53">
        <v>0</v>
      </c>
      <c r="K71" s="56">
        <v>0</v>
      </c>
      <c r="L71" s="53">
        <v>0</v>
      </c>
      <c r="M71" s="48">
        <v>0</v>
      </c>
      <c r="N71" s="48">
        <v>0</v>
      </c>
      <c r="O71" s="54">
        <v>0</v>
      </c>
      <c r="P71" s="53">
        <v>0</v>
      </c>
      <c r="Q71" s="40">
        <v>0</v>
      </c>
      <c r="R71" s="48">
        <v>0</v>
      </c>
      <c r="S71" s="22">
        <v>0</v>
      </c>
      <c r="T71" s="22">
        <v>0</v>
      </c>
      <c r="U71" s="23"/>
      <c r="V71" s="26"/>
      <c r="W71" s="11"/>
    </row>
    <row r="72" spans="1:23" x14ac:dyDescent="0.3">
      <c r="A72" s="33" t="s">
        <v>126</v>
      </c>
      <c r="B72" s="34" t="s">
        <v>129</v>
      </c>
      <c r="C72" s="34" t="s">
        <v>138</v>
      </c>
      <c r="D72" s="11" t="s">
        <v>142</v>
      </c>
      <c r="E72" s="45" t="s">
        <v>141</v>
      </c>
      <c r="F72" s="11" t="s">
        <v>145</v>
      </c>
      <c r="G72" s="2">
        <f t="shared" si="2"/>
        <v>0</v>
      </c>
      <c r="H72" s="2">
        <f t="shared" si="1"/>
        <v>0</v>
      </c>
      <c r="I72" s="56">
        <v>0</v>
      </c>
      <c r="J72" s="53">
        <v>0</v>
      </c>
      <c r="K72" s="56">
        <v>0</v>
      </c>
      <c r="L72" s="53">
        <v>0</v>
      </c>
      <c r="M72" s="48">
        <v>0</v>
      </c>
      <c r="N72" s="48">
        <v>0</v>
      </c>
      <c r="O72" s="54">
        <v>0</v>
      </c>
      <c r="P72" s="53">
        <v>0</v>
      </c>
      <c r="Q72" s="40">
        <v>0</v>
      </c>
      <c r="R72" s="48">
        <v>0</v>
      </c>
      <c r="S72" s="22">
        <v>0</v>
      </c>
      <c r="T72" s="22">
        <v>0</v>
      </c>
      <c r="U72" s="23"/>
      <c r="V72" s="26"/>
      <c r="W72" s="11"/>
    </row>
    <row r="73" spans="1:23" x14ac:dyDescent="0.3">
      <c r="A73" s="33" t="s">
        <v>126</v>
      </c>
      <c r="B73" s="34" t="s">
        <v>189</v>
      </c>
      <c r="C73" s="34" t="s">
        <v>186</v>
      </c>
      <c r="D73" s="11" t="s">
        <v>142</v>
      </c>
      <c r="E73" s="45" t="s">
        <v>187</v>
      </c>
      <c r="F73" s="11" t="s">
        <v>188</v>
      </c>
      <c r="G73" s="2">
        <f t="shared" si="2"/>
        <v>0</v>
      </c>
      <c r="H73" s="2">
        <f t="shared" si="1"/>
        <v>0</v>
      </c>
      <c r="I73" s="56">
        <v>0</v>
      </c>
      <c r="J73" s="53">
        <v>0</v>
      </c>
      <c r="K73" s="56">
        <v>0</v>
      </c>
      <c r="L73" s="53">
        <v>0</v>
      </c>
      <c r="M73" s="48">
        <v>0</v>
      </c>
      <c r="N73" s="48">
        <v>0</v>
      </c>
      <c r="O73" s="54">
        <v>0</v>
      </c>
      <c r="P73" s="53">
        <v>0</v>
      </c>
      <c r="Q73" s="40">
        <v>0</v>
      </c>
      <c r="R73" s="48">
        <v>0</v>
      </c>
      <c r="S73" s="22">
        <v>0</v>
      </c>
      <c r="T73" s="22">
        <v>0</v>
      </c>
      <c r="U73" s="23"/>
      <c r="V73" s="26"/>
      <c r="W73" s="11"/>
    </row>
    <row r="74" spans="1:23" x14ac:dyDescent="0.3">
      <c r="A74" s="33" t="s">
        <v>126</v>
      </c>
      <c r="B74" s="34" t="s">
        <v>249</v>
      </c>
      <c r="C74" s="34" t="s">
        <v>248</v>
      </c>
      <c r="D74" s="11" t="s">
        <v>142</v>
      </c>
      <c r="E74" s="45" t="s">
        <v>247</v>
      </c>
      <c r="F74" s="11" t="s">
        <v>250</v>
      </c>
      <c r="G74" s="2">
        <f t="shared" si="2"/>
        <v>89</v>
      </c>
      <c r="H74" s="2">
        <f t="shared" si="1"/>
        <v>0</v>
      </c>
      <c r="I74" s="56">
        <v>0</v>
      </c>
      <c r="J74" s="53">
        <v>0</v>
      </c>
      <c r="K74" s="56">
        <v>3</v>
      </c>
      <c r="L74" s="53">
        <v>0</v>
      </c>
      <c r="M74" s="48">
        <v>0</v>
      </c>
      <c r="N74" s="48">
        <v>0</v>
      </c>
      <c r="O74" s="54">
        <v>86</v>
      </c>
      <c r="P74" s="53">
        <v>0</v>
      </c>
      <c r="Q74" s="40">
        <v>0</v>
      </c>
      <c r="R74" s="48">
        <v>0</v>
      </c>
      <c r="S74" s="22">
        <v>0</v>
      </c>
      <c r="T74" s="22">
        <v>0</v>
      </c>
      <c r="U74" s="23"/>
      <c r="V74" s="26"/>
      <c r="W74" s="11"/>
    </row>
    <row r="75" spans="1:23" x14ac:dyDescent="0.3">
      <c r="A75" s="33" t="s">
        <v>126</v>
      </c>
      <c r="B75" s="34" t="s">
        <v>273</v>
      </c>
      <c r="C75" s="34" t="s">
        <v>303</v>
      </c>
      <c r="D75" s="11" t="s">
        <v>146</v>
      </c>
      <c r="E75" s="59">
        <v>10050601</v>
      </c>
      <c r="F75" s="11" t="s">
        <v>147</v>
      </c>
      <c r="G75" s="2">
        <f t="shared" si="2"/>
        <v>1328</v>
      </c>
      <c r="H75" s="2">
        <f t="shared" si="1"/>
        <v>0</v>
      </c>
      <c r="I75" s="56">
        <v>0</v>
      </c>
      <c r="J75" s="53">
        <v>0</v>
      </c>
      <c r="K75" s="56">
        <v>7</v>
      </c>
      <c r="L75" s="53">
        <v>0</v>
      </c>
      <c r="M75" s="48">
        <v>0</v>
      </c>
      <c r="N75" s="48">
        <v>0</v>
      </c>
      <c r="O75" s="54">
        <v>1225</v>
      </c>
      <c r="P75" s="53">
        <v>0</v>
      </c>
      <c r="Q75" s="40">
        <v>96</v>
      </c>
      <c r="R75" s="48">
        <v>0</v>
      </c>
      <c r="S75" s="22">
        <v>0</v>
      </c>
      <c r="T75" s="22">
        <v>0</v>
      </c>
      <c r="U75" s="23"/>
      <c r="V75" s="26"/>
      <c r="W75" s="11"/>
    </row>
    <row r="76" spans="1:23" x14ac:dyDescent="0.3">
      <c r="A76" s="33" t="s">
        <v>126</v>
      </c>
      <c r="B76" s="34" t="s">
        <v>274</v>
      </c>
      <c r="C76" s="34" t="s">
        <v>304</v>
      </c>
      <c r="D76" s="11" t="s">
        <v>149</v>
      </c>
      <c r="E76" s="45" t="s">
        <v>135</v>
      </c>
      <c r="F76" s="11" t="s">
        <v>148</v>
      </c>
      <c r="G76" s="2">
        <f t="shared" si="2"/>
        <v>0</v>
      </c>
      <c r="H76" s="2">
        <f t="shared" ref="H76:H98" si="3">J76+L76+N76+P76+R76+T76</f>
        <v>0</v>
      </c>
      <c r="I76" s="56">
        <v>0</v>
      </c>
      <c r="J76" s="53">
        <v>0</v>
      </c>
      <c r="K76" s="56">
        <v>0</v>
      </c>
      <c r="L76" s="53">
        <v>0</v>
      </c>
      <c r="M76" s="48">
        <v>0</v>
      </c>
      <c r="N76" s="48">
        <v>0</v>
      </c>
      <c r="O76" s="54">
        <v>0</v>
      </c>
      <c r="P76" s="53">
        <v>0</v>
      </c>
      <c r="Q76" s="40">
        <v>0</v>
      </c>
      <c r="R76" s="48">
        <v>0</v>
      </c>
      <c r="S76" s="22">
        <v>0</v>
      </c>
      <c r="T76" s="22">
        <v>0</v>
      </c>
      <c r="U76" s="23"/>
      <c r="V76" s="26"/>
      <c r="W76" s="11"/>
    </row>
    <row r="77" spans="1:23" x14ac:dyDescent="0.3">
      <c r="A77" s="33" t="s">
        <v>126</v>
      </c>
      <c r="B77" s="34" t="s">
        <v>163</v>
      </c>
      <c r="C77" s="34" t="s">
        <v>305</v>
      </c>
      <c r="D77" s="11" t="s">
        <v>146</v>
      </c>
      <c r="E77" s="59">
        <v>10019994</v>
      </c>
      <c r="F77" s="11" t="s">
        <v>160</v>
      </c>
      <c r="G77" s="2">
        <f t="shared" si="2"/>
        <v>0</v>
      </c>
      <c r="H77" s="2">
        <f t="shared" si="3"/>
        <v>0</v>
      </c>
      <c r="I77" s="56">
        <v>0</v>
      </c>
      <c r="J77" s="53">
        <v>0</v>
      </c>
      <c r="K77" s="56">
        <v>0</v>
      </c>
      <c r="L77" s="53">
        <v>0</v>
      </c>
      <c r="M77" s="48">
        <v>0</v>
      </c>
      <c r="N77" s="48">
        <v>0</v>
      </c>
      <c r="O77" s="54">
        <v>0</v>
      </c>
      <c r="P77" s="53">
        <v>0</v>
      </c>
      <c r="Q77" s="40">
        <v>0</v>
      </c>
      <c r="R77" s="48">
        <v>0</v>
      </c>
      <c r="S77" s="22">
        <v>0</v>
      </c>
      <c r="T77" s="22">
        <v>0</v>
      </c>
      <c r="U77" s="23"/>
      <c r="V77" s="26"/>
      <c r="W77" s="11"/>
    </row>
    <row r="78" spans="1:23" x14ac:dyDescent="0.3">
      <c r="A78" s="33" t="s">
        <v>126</v>
      </c>
      <c r="B78" s="34" t="s">
        <v>163</v>
      </c>
      <c r="C78" s="34" t="s">
        <v>306</v>
      </c>
      <c r="D78" s="11" t="s">
        <v>146</v>
      </c>
      <c r="E78" s="59">
        <v>10001999</v>
      </c>
      <c r="F78" s="11" t="s">
        <v>161</v>
      </c>
      <c r="G78" s="2">
        <f t="shared" si="2"/>
        <v>94</v>
      </c>
      <c r="H78" s="2">
        <f t="shared" si="3"/>
        <v>0</v>
      </c>
      <c r="I78" s="56">
        <v>0</v>
      </c>
      <c r="J78" s="53">
        <v>0</v>
      </c>
      <c r="K78" s="56">
        <v>0</v>
      </c>
      <c r="L78" s="53">
        <v>0</v>
      </c>
      <c r="M78" s="48">
        <v>0</v>
      </c>
      <c r="N78" s="48">
        <v>0</v>
      </c>
      <c r="O78" s="54">
        <v>0</v>
      </c>
      <c r="P78" s="53">
        <v>0</v>
      </c>
      <c r="Q78" s="40">
        <v>94</v>
      </c>
      <c r="R78" s="48">
        <v>0</v>
      </c>
      <c r="S78" s="22">
        <v>0</v>
      </c>
      <c r="T78" s="22">
        <v>0</v>
      </c>
      <c r="U78" s="23"/>
      <c r="V78" s="26"/>
      <c r="W78" s="11"/>
    </row>
    <row r="79" spans="1:23" x14ac:dyDescent="0.3">
      <c r="A79" s="33" t="s">
        <v>126</v>
      </c>
      <c r="B79" s="34" t="s">
        <v>163</v>
      </c>
      <c r="C79" s="34" t="s">
        <v>307</v>
      </c>
      <c r="D79" s="11" t="s">
        <v>146</v>
      </c>
      <c r="E79" s="59">
        <v>10019993</v>
      </c>
      <c r="F79" s="11" t="s">
        <v>162</v>
      </c>
      <c r="G79" s="2">
        <f t="shared" si="2"/>
        <v>31</v>
      </c>
      <c r="H79" s="2">
        <f t="shared" si="3"/>
        <v>0</v>
      </c>
      <c r="I79" s="56">
        <v>0</v>
      </c>
      <c r="J79" s="53">
        <v>0</v>
      </c>
      <c r="K79" s="56">
        <v>11</v>
      </c>
      <c r="L79" s="53">
        <v>0</v>
      </c>
      <c r="M79" s="48">
        <v>0</v>
      </c>
      <c r="N79" s="48">
        <v>0</v>
      </c>
      <c r="O79" s="54">
        <v>-7</v>
      </c>
      <c r="P79" s="53">
        <v>0</v>
      </c>
      <c r="Q79" s="40">
        <v>27</v>
      </c>
      <c r="R79" s="48">
        <v>0</v>
      </c>
      <c r="S79" s="22">
        <v>0</v>
      </c>
      <c r="T79" s="22">
        <v>0</v>
      </c>
      <c r="U79" s="23"/>
      <c r="V79" s="26"/>
      <c r="W79" s="11"/>
    </row>
    <row r="80" spans="1:23" x14ac:dyDescent="0.3">
      <c r="A80" s="33" t="s">
        <v>126</v>
      </c>
      <c r="B80" s="34" t="s">
        <v>163</v>
      </c>
      <c r="C80" s="34" t="s">
        <v>308</v>
      </c>
      <c r="D80" s="11" t="s">
        <v>146</v>
      </c>
      <c r="E80" s="59">
        <v>100199900</v>
      </c>
      <c r="F80" s="11" t="s">
        <v>232</v>
      </c>
      <c r="G80" s="2">
        <f t="shared" si="2"/>
        <v>3268</v>
      </c>
      <c r="H80" s="2">
        <f t="shared" si="3"/>
        <v>0</v>
      </c>
      <c r="I80" s="56">
        <v>0</v>
      </c>
      <c r="J80" s="53">
        <v>0</v>
      </c>
      <c r="K80" s="56">
        <v>6</v>
      </c>
      <c r="L80" s="53">
        <v>0</v>
      </c>
      <c r="M80" s="48">
        <v>0</v>
      </c>
      <c r="N80" s="48">
        <v>0</v>
      </c>
      <c r="O80" s="54">
        <v>3163</v>
      </c>
      <c r="P80" s="53">
        <v>0</v>
      </c>
      <c r="Q80" s="40">
        <v>99</v>
      </c>
      <c r="R80" s="48">
        <v>0</v>
      </c>
      <c r="S80" s="22">
        <v>0</v>
      </c>
      <c r="T80" s="22">
        <v>0</v>
      </c>
      <c r="U80" s="23"/>
      <c r="V80" s="26"/>
      <c r="W80" s="11"/>
    </row>
    <row r="81" spans="1:23" x14ac:dyDescent="0.3">
      <c r="A81" s="33" t="s">
        <v>126</v>
      </c>
      <c r="B81" s="34" t="s">
        <v>163</v>
      </c>
      <c r="C81" s="34" t="s">
        <v>309</v>
      </c>
      <c r="D81" s="11" t="s">
        <v>146</v>
      </c>
      <c r="E81" s="59">
        <v>10019996</v>
      </c>
      <c r="F81" s="11" t="s">
        <v>251</v>
      </c>
      <c r="G81" s="2">
        <f t="shared" si="2"/>
        <v>609</v>
      </c>
      <c r="H81" s="2">
        <f t="shared" si="3"/>
        <v>0</v>
      </c>
      <c r="I81" s="56">
        <v>0</v>
      </c>
      <c r="J81" s="53">
        <v>0</v>
      </c>
      <c r="K81" s="56">
        <v>28</v>
      </c>
      <c r="L81" s="53">
        <v>0</v>
      </c>
      <c r="M81" s="48">
        <v>0</v>
      </c>
      <c r="N81" s="48">
        <v>0</v>
      </c>
      <c r="O81" s="54">
        <v>269</v>
      </c>
      <c r="P81" s="53">
        <v>0</v>
      </c>
      <c r="Q81" s="40">
        <v>312</v>
      </c>
      <c r="R81" s="48">
        <v>0</v>
      </c>
      <c r="S81" s="22">
        <v>0</v>
      </c>
      <c r="T81" s="22">
        <v>0</v>
      </c>
      <c r="U81" s="23"/>
      <c r="V81" s="26"/>
      <c r="W81" s="11"/>
    </row>
    <row r="82" spans="1:23" x14ac:dyDescent="0.3">
      <c r="A82" s="33" t="s">
        <v>126</v>
      </c>
      <c r="B82" s="34" t="s">
        <v>130</v>
      </c>
      <c r="C82" s="34" t="s">
        <v>130</v>
      </c>
      <c r="D82" s="11" t="s">
        <v>150</v>
      </c>
      <c r="E82" s="45" t="s">
        <v>133</v>
      </c>
      <c r="F82" s="11" t="s">
        <v>154</v>
      </c>
      <c r="G82" s="2">
        <f t="shared" si="2"/>
        <v>538</v>
      </c>
      <c r="H82" s="2">
        <f t="shared" si="3"/>
        <v>0</v>
      </c>
      <c r="I82" s="56">
        <v>0</v>
      </c>
      <c r="J82" s="53">
        <v>0</v>
      </c>
      <c r="K82" s="56">
        <v>3</v>
      </c>
      <c r="L82" s="53">
        <v>0</v>
      </c>
      <c r="M82" s="48">
        <v>0</v>
      </c>
      <c r="N82" s="48">
        <v>0</v>
      </c>
      <c r="O82" s="54">
        <v>535</v>
      </c>
      <c r="P82" s="53">
        <v>0</v>
      </c>
      <c r="Q82" s="40">
        <v>0</v>
      </c>
      <c r="R82" s="48">
        <v>0</v>
      </c>
      <c r="S82" s="22">
        <v>0</v>
      </c>
      <c r="T82" s="22">
        <v>0</v>
      </c>
      <c r="U82" s="23"/>
      <c r="V82" s="26"/>
      <c r="W82" s="11"/>
    </row>
    <row r="83" spans="1:23" x14ac:dyDescent="0.3">
      <c r="A83" s="33" t="s">
        <v>126</v>
      </c>
      <c r="B83" s="34" t="s">
        <v>132</v>
      </c>
      <c r="C83" s="34" t="s">
        <v>132</v>
      </c>
      <c r="D83" s="11" t="s">
        <v>150</v>
      </c>
      <c r="E83" s="45" t="s">
        <v>134</v>
      </c>
      <c r="F83" s="11" t="s">
        <v>153</v>
      </c>
      <c r="G83" s="2">
        <f t="shared" si="2"/>
        <v>2</v>
      </c>
      <c r="H83" s="2">
        <f t="shared" si="3"/>
        <v>0</v>
      </c>
      <c r="I83" s="56">
        <v>0</v>
      </c>
      <c r="J83" s="53">
        <v>0</v>
      </c>
      <c r="K83" s="56">
        <v>0</v>
      </c>
      <c r="L83" s="53">
        <v>0</v>
      </c>
      <c r="M83" s="48">
        <v>0</v>
      </c>
      <c r="N83" s="48">
        <v>0</v>
      </c>
      <c r="O83" s="54">
        <v>2</v>
      </c>
      <c r="P83" s="53">
        <v>0</v>
      </c>
      <c r="Q83" s="40">
        <v>0</v>
      </c>
      <c r="R83" s="48">
        <v>0</v>
      </c>
      <c r="S83" s="22">
        <v>0</v>
      </c>
      <c r="T83" s="22">
        <v>0</v>
      </c>
      <c r="U83" s="23"/>
      <c r="V83" s="26"/>
      <c r="W83" s="11"/>
    </row>
    <row r="84" spans="1:23" x14ac:dyDescent="0.3">
      <c r="A84" s="33" t="s">
        <v>126</v>
      </c>
      <c r="B84" s="34" t="s">
        <v>131</v>
      </c>
      <c r="C84" s="34" t="s">
        <v>310</v>
      </c>
      <c r="D84" s="11" t="s">
        <v>151</v>
      </c>
      <c r="E84" s="45" t="s">
        <v>152</v>
      </c>
      <c r="F84" s="11" t="s">
        <v>156</v>
      </c>
      <c r="G84" s="2">
        <f t="shared" si="2"/>
        <v>125</v>
      </c>
      <c r="H84" s="2">
        <f t="shared" si="3"/>
        <v>0</v>
      </c>
      <c r="I84" s="56">
        <v>0</v>
      </c>
      <c r="J84" s="53">
        <v>0</v>
      </c>
      <c r="K84" s="56">
        <v>3</v>
      </c>
      <c r="L84" s="53">
        <v>0</v>
      </c>
      <c r="M84" s="48">
        <v>0</v>
      </c>
      <c r="N84" s="48">
        <v>0</v>
      </c>
      <c r="O84" s="54">
        <v>122</v>
      </c>
      <c r="P84" s="53">
        <v>0</v>
      </c>
      <c r="Q84" s="40">
        <v>0</v>
      </c>
      <c r="R84" s="48">
        <v>0</v>
      </c>
      <c r="S84" s="22">
        <v>0</v>
      </c>
      <c r="T84" s="22">
        <v>0</v>
      </c>
      <c r="U84" s="23"/>
      <c r="V84" s="26"/>
      <c r="W84" s="11"/>
    </row>
    <row r="85" spans="1:23" x14ac:dyDescent="0.3">
      <c r="A85" s="33" t="s">
        <v>126</v>
      </c>
      <c r="B85" s="34" t="s">
        <v>131</v>
      </c>
      <c r="C85" s="34" t="s">
        <v>311</v>
      </c>
      <c r="D85" s="11" t="s">
        <v>151</v>
      </c>
      <c r="E85" s="45" t="s">
        <v>164</v>
      </c>
      <c r="F85" s="11" t="s">
        <v>155</v>
      </c>
      <c r="G85" s="2">
        <f t="shared" si="2"/>
        <v>33</v>
      </c>
      <c r="H85" s="2">
        <f t="shared" si="3"/>
        <v>0</v>
      </c>
      <c r="I85" s="56">
        <v>0</v>
      </c>
      <c r="J85" s="53">
        <v>0</v>
      </c>
      <c r="K85" s="56">
        <v>3</v>
      </c>
      <c r="L85" s="53">
        <v>0</v>
      </c>
      <c r="M85" s="48">
        <v>0</v>
      </c>
      <c r="N85" s="48">
        <v>0</v>
      </c>
      <c r="O85" s="54">
        <v>30</v>
      </c>
      <c r="P85" s="53">
        <v>0</v>
      </c>
      <c r="Q85" s="40">
        <v>0</v>
      </c>
      <c r="R85" s="48">
        <v>0</v>
      </c>
      <c r="S85" s="22">
        <v>0</v>
      </c>
      <c r="T85" s="22">
        <v>0</v>
      </c>
      <c r="U85" s="23"/>
      <c r="V85" s="26"/>
      <c r="W85" s="11"/>
    </row>
    <row r="86" spans="1:23" x14ac:dyDescent="0.3">
      <c r="A86" s="33" t="s">
        <v>126</v>
      </c>
      <c r="B86" s="34" t="s">
        <v>204</v>
      </c>
      <c r="C86" s="34" t="s">
        <v>204</v>
      </c>
      <c r="D86" s="11" t="s">
        <v>168</v>
      </c>
      <c r="E86" s="45" t="s">
        <v>169</v>
      </c>
      <c r="F86" s="11" t="s">
        <v>170</v>
      </c>
      <c r="G86" s="2">
        <f t="shared" si="2"/>
        <v>39</v>
      </c>
      <c r="H86" s="2">
        <f t="shared" si="3"/>
        <v>0</v>
      </c>
      <c r="I86" s="56">
        <v>0</v>
      </c>
      <c r="J86" s="53">
        <v>0</v>
      </c>
      <c r="K86" s="56">
        <v>0</v>
      </c>
      <c r="L86" s="53">
        <v>0</v>
      </c>
      <c r="M86" s="48">
        <v>0</v>
      </c>
      <c r="N86" s="48">
        <v>0</v>
      </c>
      <c r="O86" s="54">
        <v>9</v>
      </c>
      <c r="P86" s="53">
        <v>0</v>
      </c>
      <c r="Q86" s="40">
        <v>30</v>
      </c>
      <c r="R86" s="48">
        <v>0</v>
      </c>
      <c r="S86" s="22">
        <v>0</v>
      </c>
      <c r="T86" s="22">
        <v>0</v>
      </c>
      <c r="U86" s="23"/>
      <c r="V86" s="26"/>
      <c r="W86" s="11"/>
    </row>
    <row r="87" spans="1:23" x14ac:dyDescent="0.3">
      <c r="A87" s="33" t="s">
        <v>126</v>
      </c>
      <c r="B87" s="34" t="s">
        <v>275</v>
      </c>
      <c r="C87" s="34" t="s">
        <v>312</v>
      </c>
      <c r="D87" s="11" t="s">
        <v>1</v>
      </c>
      <c r="E87" s="45" t="s">
        <v>1</v>
      </c>
      <c r="F87" s="11" t="s">
        <v>326</v>
      </c>
      <c r="G87" s="2">
        <f t="shared" si="2"/>
        <v>0</v>
      </c>
      <c r="H87" s="2">
        <f t="shared" si="3"/>
        <v>0</v>
      </c>
      <c r="I87" s="56">
        <v>0</v>
      </c>
      <c r="J87" s="53">
        <v>0</v>
      </c>
      <c r="K87" s="56">
        <v>0</v>
      </c>
      <c r="L87" s="53">
        <v>0</v>
      </c>
      <c r="M87" s="48">
        <v>0</v>
      </c>
      <c r="N87" s="48">
        <v>0</v>
      </c>
      <c r="O87" s="54">
        <v>0</v>
      </c>
      <c r="P87" s="53">
        <v>0</v>
      </c>
      <c r="Q87" s="40">
        <v>0</v>
      </c>
      <c r="R87" s="48">
        <v>0</v>
      </c>
      <c r="S87" s="22">
        <v>0</v>
      </c>
      <c r="T87" s="22">
        <v>0</v>
      </c>
      <c r="U87" s="23"/>
      <c r="V87" s="26"/>
      <c r="W87" s="11"/>
    </row>
    <row r="88" spans="1:23" x14ac:dyDescent="0.3">
      <c r="A88" s="33" t="s">
        <v>299</v>
      </c>
      <c r="B88" s="36" t="s">
        <v>211</v>
      </c>
      <c r="C88" s="36" t="s">
        <v>211</v>
      </c>
      <c r="D88" s="11" t="s">
        <v>142</v>
      </c>
      <c r="E88" s="45" t="s">
        <v>278</v>
      </c>
      <c r="F88" s="11" t="s">
        <v>215</v>
      </c>
      <c r="G88" s="2">
        <f t="shared" si="2"/>
        <v>76</v>
      </c>
      <c r="H88" s="2">
        <f t="shared" si="3"/>
        <v>0</v>
      </c>
      <c r="I88" s="56">
        <v>0</v>
      </c>
      <c r="J88" s="53">
        <v>0</v>
      </c>
      <c r="K88" s="56">
        <v>12</v>
      </c>
      <c r="L88" s="53">
        <v>0</v>
      </c>
      <c r="M88" s="48">
        <v>0</v>
      </c>
      <c r="N88" s="48">
        <v>0</v>
      </c>
      <c r="O88" s="54">
        <v>64</v>
      </c>
      <c r="P88" s="53">
        <v>0</v>
      </c>
      <c r="Q88" s="40">
        <v>0</v>
      </c>
      <c r="R88" s="48">
        <v>0</v>
      </c>
      <c r="S88" s="22">
        <v>0</v>
      </c>
      <c r="T88" s="22">
        <v>0</v>
      </c>
      <c r="U88" s="23"/>
      <c r="V88" s="26"/>
      <c r="W88" s="11"/>
    </row>
    <row r="89" spans="1:23" x14ac:dyDescent="0.3">
      <c r="A89" s="33" t="s">
        <v>299</v>
      </c>
      <c r="B89" s="36" t="s">
        <v>211</v>
      </c>
      <c r="C89" s="36" t="s">
        <v>313</v>
      </c>
      <c r="D89" s="11" t="s">
        <v>142</v>
      </c>
      <c r="E89" s="45" t="s">
        <v>262</v>
      </c>
      <c r="F89" s="11" t="s">
        <v>263</v>
      </c>
      <c r="G89" s="2">
        <f t="shared" si="2"/>
        <v>0</v>
      </c>
      <c r="H89" s="2">
        <f t="shared" si="3"/>
        <v>0</v>
      </c>
      <c r="I89" s="56">
        <v>0</v>
      </c>
      <c r="J89" s="53">
        <v>0</v>
      </c>
      <c r="K89" s="56">
        <v>0</v>
      </c>
      <c r="L89" s="53">
        <v>0</v>
      </c>
      <c r="M89" s="48">
        <v>0</v>
      </c>
      <c r="N89" s="48">
        <v>0</v>
      </c>
      <c r="O89" s="54">
        <v>0</v>
      </c>
      <c r="P89" s="53">
        <v>0</v>
      </c>
      <c r="Q89" s="40">
        <v>0</v>
      </c>
      <c r="R89" s="48">
        <v>0</v>
      </c>
      <c r="S89" s="22">
        <v>0</v>
      </c>
      <c r="T89" s="22">
        <v>0</v>
      </c>
      <c r="U89" s="23"/>
      <c r="V89" s="26"/>
      <c r="W89" s="11"/>
    </row>
    <row r="90" spans="1:23" x14ac:dyDescent="0.3">
      <c r="A90" s="33" t="s">
        <v>299</v>
      </c>
      <c r="B90" s="36" t="s">
        <v>212</v>
      </c>
      <c r="C90" s="36" t="s">
        <v>212</v>
      </c>
      <c r="D90" s="11" t="s">
        <v>214</v>
      </c>
      <c r="E90" s="46" t="s">
        <v>218</v>
      </c>
      <c r="F90" s="11" t="s">
        <v>216</v>
      </c>
      <c r="G90" s="2">
        <f t="shared" si="2"/>
        <v>84</v>
      </c>
      <c r="H90" s="2">
        <f t="shared" si="3"/>
        <v>0</v>
      </c>
      <c r="I90" s="56">
        <v>0</v>
      </c>
      <c r="J90" s="53">
        <v>0</v>
      </c>
      <c r="K90" s="56">
        <v>0</v>
      </c>
      <c r="L90" s="53">
        <v>0</v>
      </c>
      <c r="M90" s="48">
        <v>0</v>
      </c>
      <c r="N90" s="48">
        <v>0</v>
      </c>
      <c r="O90" s="54">
        <v>1</v>
      </c>
      <c r="P90" s="53">
        <v>0</v>
      </c>
      <c r="Q90" s="40">
        <v>83</v>
      </c>
      <c r="R90" s="48">
        <v>0</v>
      </c>
      <c r="S90" s="22">
        <v>0</v>
      </c>
      <c r="T90" s="22">
        <v>0</v>
      </c>
      <c r="U90" s="23"/>
      <c r="V90" s="26"/>
      <c r="W90" s="11"/>
    </row>
    <row r="91" spans="1:23" x14ac:dyDescent="0.3">
      <c r="A91" s="33" t="s">
        <v>299</v>
      </c>
      <c r="B91" s="36" t="s">
        <v>213</v>
      </c>
      <c r="C91" s="36" t="s">
        <v>314</v>
      </c>
      <c r="D91" s="11" t="s">
        <v>142</v>
      </c>
      <c r="E91" s="46" t="s">
        <v>219</v>
      </c>
      <c r="F91" s="11" t="s">
        <v>217</v>
      </c>
      <c r="G91" s="2">
        <f t="shared" si="2"/>
        <v>4</v>
      </c>
      <c r="H91" s="2">
        <f t="shared" si="3"/>
        <v>0</v>
      </c>
      <c r="I91" s="56">
        <v>0</v>
      </c>
      <c r="J91" s="53">
        <v>0</v>
      </c>
      <c r="K91" s="56">
        <v>0</v>
      </c>
      <c r="L91" s="53">
        <v>0</v>
      </c>
      <c r="M91" s="48">
        <v>0</v>
      </c>
      <c r="N91" s="48">
        <v>0</v>
      </c>
      <c r="O91" s="54">
        <v>4</v>
      </c>
      <c r="P91" s="53">
        <v>0</v>
      </c>
      <c r="Q91" s="40">
        <v>0</v>
      </c>
      <c r="R91" s="48">
        <v>0</v>
      </c>
      <c r="S91" s="22">
        <v>0</v>
      </c>
      <c r="T91" s="22">
        <v>0</v>
      </c>
      <c r="U91" s="23"/>
      <c r="V91" s="26"/>
      <c r="W91" s="11"/>
    </row>
    <row r="92" spans="1:23" x14ac:dyDescent="0.3">
      <c r="A92" s="33" t="s">
        <v>299</v>
      </c>
      <c r="B92" s="36" t="s">
        <v>213</v>
      </c>
      <c r="C92" s="36" t="s">
        <v>315</v>
      </c>
      <c r="D92" s="11" t="s">
        <v>142</v>
      </c>
      <c r="E92" s="46" t="s">
        <v>302</v>
      </c>
      <c r="F92" s="11" t="s">
        <v>244</v>
      </c>
      <c r="G92" s="2">
        <f t="shared" si="2"/>
        <v>87</v>
      </c>
      <c r="H92" s="2">
        <f t="shared" si="3"/>
        <v>0</v>
      </c>
      <c r="I92" s="56">
        <v>0</v>
      </c>
      <c r="J92" s="53">
        <v>0</v>
      </c>
      <c r="K92" s="56">
        <v>0</v>
      </c>
      <c r="L92" s="53">
        <v>0</v>
      </c>
      <c r="M92" s="48">
        <v>0</v>
      </c>
      <c r="N92" s="48">
        <v>0</v>
      </c>
      <c r="O92" s="54">
        <v>2</v>
      </c>
      <c r="P92" s="53">
        <v>0</v>
      </c>
      <c r="Q92" s="40">
        <v>85</v>
      </c>
      <c r="R92" s="48">
        <v>0</v>
      </c>
      <c r="S92" s="22">
        <v>0</v>
      </c>
      <c r="T92" s="22">
        <v>0</v>
      </c>
      <c r="U92" s="23"/>
      <c r="V92" s="26"/>
      <c r="W92" s="11"/>
    </row>
    <row r="93" spans="1:23" x14ac:dyDescent="0.3">
      <c r="A93" s="33" t="s">
        <v>299</v>
      </c>
      <c r="B93" s="36" t="s">
        <v>132</v>
      </c>
      <c r="C93" s="36" t="s">
        <v>316</v>
      </c>
      <c r="D93" s="11" t="s">
        <v>132</v>
      </c>
      <c r="E93" s="59">
        <v>31086</v>
      </c>
      <c r="F93" s="11" t="s">
        <v>225</v>
      </c>
      <c r="G93" s="2">
        <f t="shared" si="2"/>
        <v>0</v>
      </c>
      <c r="H93" s="2">
        <f t="shared" si="3"/>
        <v>0</v>
      </c>
      <c r="I93" s="56">
        <v>0</v>
      </c>
      <c r="J93" s="53">
        <v>0</v>
      </c>
      <c r="K93" s="56">
        <v>0</v>
      </c>
      <c r="L93" s="53">
        <v>0</v>
      </c>
      <c r="M93" s="48">
        <v>0</v>
      </c>
      <c r="N93" s="48">
        <v>0</v>
      </c>
      <c r="O93" s="54">
        <v>0</v>
      </c>
      <c r="P93" s="53">
        <v>0</v>
      </c>
      <c r="Q93" s="40">
        <v>0</v>
      </c>
      <c r="R93" s="48">
        <v>0</v>
      </c>
      <c r="S93" s="22">
        <v>0</v>
      </c>
      <c r="T93" s="22">
        <v>0</v>
      </c>
      <c r="U93" s="23"/>
      <c r="V93" s="26"/>
      <c r="W93" s="11"/>
    </row>
    <row r="94" spans="1:23" x14ac:dyDescent="0.3">
      <c r="A94" s="33" t="s">
        <v>299</v>
      </c>
      <c r="B94" s="36" t="s">
        <v>222</v>
      </c>
      <c r="C94" s="36" t="s">
        <v>317</v>
      </c>
      <c r="D94" s="11" t="s">
        <v>224</v>
      </c>
      <c r="E94" s="46" t="s">
        <v>220</v>
      </c>
      <c r="F94" s="11" t="s">
        <v>227</v>
      </c>
      <c r="G94" s="2">
        <f t="shared" si="2"/>
        <v>92</v>
      </c>
      <c r="H94" s="2">
        <f t="shared" si="3"/>
        <v>0</v>
      </c>
      <c r="I94" s="56">
        <v>0</v>
      </c>
      <c r="J94" s="53">
        <v>0</v>
      </c>
      <c r="K94" s="56">
        <v>0</v>
      </c>
      <c r="L94" s="53">
        <v>0</v>
      </c>
      <c r="M94" s="48">
        <v>0</v>
      </c>
      <c r="N94" s="48">
        <v>0</v>
      </c>
      <c r="O94" s="54">
        <v>1</v>
      </c>
      <c r="P94" s="53">
        <v>0</v>
      </c>
      <c r="Q94" s="40">
        <v>91</v>
      </c>
      <c r="R94" s="48">
        <v>0</v>
      </c>
      <c r="S94" s="22">
        <v>0</v>
      </c>
      <c r="T94" s="22">
        <v>0</v>
      </c>
      <c r="U94" s="23"/>
      <c r="V94" s="26"/>
      <c r="W94" s="11"/>
    </row>
    <row r="95" spans="1:23" x14ac:dyDescent="0.3">
      <c r="A95" s="33" t="s">
        <v>299</v>
      </c>
      <c r="B95" s="37" t="s">
        <v>222</v>
      </c>
      <c r="C95" s="37" t="s">
        <v>318</v>
      </c>
      <c r="D95" s="38" t="s">
        <v>224</v>
      </c>
      <c r="E95" s="47" t="s">
        <v>221</v>
      </c>
      <c r="F95" s="38" t="s">
        <v>228</v>
      </c>
      <c r="G95" s="2">
        <f t="shared" si="2"/>
        <v>92</v>
      </c>
      <c r="H95" s="2">
        <f t="shared" si="3"/>
        <v>0</v>
      </c>
      <c r="I95" s="56">
        <v>0</v>
      </c>
      <c r="J95" s="53">
        <v>0</v>
      </c>
      <c r="K95" s="56">
        <v>0</v>
      </c>
      <c r="L95" s="53">
        <v>0</v>
      </c>
      <c r="M95" s="48">
        <v>0</v>
      </c>
      <c r="N95" s="48">
        <v>0</v>
      </c>
      <c r="O95" s="54">
        <v>1</v>
      </c>
      <c r="P95" s="53">
        <v>0</v>
      </c>
      <c r="Q95" s="40">
        <v>91</v>
      </c>
      <c r="R95" s="48">
        <v>0</v>
      </c>
      <c r="S95" s="22">
        <v>0</v>
      </c>
      <c r="T95" s="22">
        <v>0</v>
      </c>
      <c r="U95" s="39"/>
      <c r="V95" s="26"/>
      <c r="W95" s="38"/>
    </row>
    <row r="96" spans="1:23" x14ac:dyDescent="0.3">
      <c r="A96" s="33" t="s">
        <v>299</v>
      </c>
      <c r="B96" s="36" t="s">
        <v>223</v>
      </c>
      <c r="C96" s="36" t="s">
        <v>223</v>
      </c>
      <c r="D96" s="11" t="s">
        <v>150</v>
      </c>
      <c r="E96" s="45" t="s">
        <v>229</v>
      </c>
      <c r="F96" s="11" t="s">
        <v>226</v>
      </c>
      <c r="G96" s="2">
        <f t="shared" si="2"/>
        <v>104</v>
      </c>
      <c r="H96" s="2">
        <f t="shared" si="3"/>
        <v>0</v>
      </c>
      <c r="I96" s="56">
        <v>0</v>
      </c>
      <c r="J96" s="53">
        <v>0</v>
      </c>
      <c r="K96" s="56">
        <v>10</v>
      </c>
      <c r="L96" s="53">
        <v>0</v>
      </c>
      <c r="M96" s="48">
        <v>0</v>
      </c>
      <c r="N96" s="48">
        <v>0</v>
      </c>
      <c r="O96" s="54">
        <v>36</v>
      </c>
      <c r="P96" s="53">
        <v>0</v>
      </c>
      <c r="Q96" s="40">
        <v>58</v>
      </c>
      <c r="R96" s="48">
        <v>0</v>
      </c>
      <c r="S96" s="22">
        <v>0</v>
      </c>
      <c r="T96" s="22">
        <v>0</v>
      </c>
      <c r="U96" s="23"/>
      <c r="V96" s="26"/>
      <c r="W96" s="11"/>
    </row>
    <row r="97" spans="1:23" x14ac:dyDescent="0.3">
      <c r="A97" s="33" t="s">
        <v>299</v>
      </c>
      <c r="B97" s="36" t="s">
        <v>246</v>
      </c>
      <c r="C97" s="36" t="s">
        <v>246</v>
      </c>
      <c r="D97" s="11" t="s">
        <v>231</v>
      </c>
      <c r="E97" s="59">
        <v>54402</v>
      </c>
      <c r="F97" s="11" t="s">
        <v>245</v>
      </c>
      <c r="G97" s="2">
        <f t="shared" si="2"/>
        <v>98</v>
      </c>
      <c r="H97" s="2">
        <f t="shared" si="3"/>
        <v>0</v>
      </c>
      <c r="I97" s="56">
        <v>0</v>
      </c>
      <c r="J97" s="53">
        <v>0</v>
      </c>
      <c r="K97" s="56">
        <v>0</v>
      </c>
      <c r="L97" s="53">
        <v>0</v>
      </c>
      <c r="M97" s="53">
        <v>0</v>
      </c>
      <c r="N97" s="53">
        <v>0</v>
      </c>
      <c r="O97" s="54">
        <v>1</v>
      </c>
      <c r="P97" s="53">
        <v>0</v>
      </c>
      <c r="Q97" s="40">
        <v>97</v>
      </c>
      <c r="R97" s="48">
        <v>0</v>
      </c>
      <c r="S97" s="22">
        <v>0</v>
      </c>
      <c r="T97" s="22">
        <v>0</v>
      </c>
      <c r="U97" s="23"/>
      <c r="V97" s="26"/>
      <c r="W97" s="11"/>
    </row>
    <row r="98" spans="1:23" x14ac:dyDescent="0.3">
      <c r="A98" s="33" t="s">
        <v>299</v>
      </c>
      <c r="B98" s="36" t="s">
        <v>239</v>
      </c>
      <c r="C98" s="36" t="s">
        <v>319</v>
      </c>
      <c r="D98" s="11" t="s">
        <v>240</v>
      </c>
      <c r="E98" s="46" t="s">
        <v>298</v>
      </c>
      <c r="F98" s="11" t="s">
        <v>241</v>
      </c>
      <c r="G98" s="2">
        <f t="shared" si="2"/>
        <v>198</v>
      </c>
      <c r="H98" s="2">
        <f t="shared" si="3"/>
        <v>0</v>
      </c>
      <c r="I98" s="56">
        <v>0</v>
      </c>
      <c r="J98" s="53">
        <v>0</v>
      </c>
      <c r="K98" s="56">
        <v>2</v>
      </c>
      <c r="L98" s="53">
        <v>0</v>
      </c>
      <c r="M98" s="48">
        <v>0</v>
      </c>
      <c r="N98" s="48">
        <v>0</v>
      </c>
      <c r="O98" s="54">
        <v>57</v>
      </c>
      <c r="P98" s="53">
        <v>0</v>
      </c>
      <c r="Q98" s="40">
        <v>139</v>
      </c>
      <c r="R98" s="48">
        <v>0</v>
      </c>
      <c r="S98" s="22">
        <v>0</v>
      </c>
      <c r="T98" s="22">
        <v>0</v>
      </c>
      <c r="U98" s="23"/>
      <c r="V98" s="26"/>
      <c r="W98" s="11"/>
    </row>
  </sheetData>
  <autoFilter ref="A10:T98" xr:uid="{4F7EBE5D-6AE3-42A0-B99B-BAC22D3915D9}"/>
  <mergeCells count="9">
    <mergeCell ref="W9:W10"/>
    <mergeCell ref="G9:H9"/>
    <mergeCell ref="Q9:R9"/>
    <mergeCell ref="O9:P9"/>
    <mergeCell ref="V9:V10"/>
    <mergeCell ref="S9:T9"/>
    <mergeCell ref="M9:N9"/>
    <mergeCell ref="K9:L9"/>
    <mergeCell ref="I9:J9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B8CF-9301-4BCD-AD25-FB5F9B0EFA98}">
  <dimension ref="A1:H59"/>
  <sheetViews>
    <sheetView zoomScale="80" zoomScaleNormal="80" workbookViewId="0">
      <selection activeCell="F12" sqref="F12"/>
    </sheetView>
  </sheetViews>
  <sheetFormatPr defaultRowHeight="14.4" x14ac:dyDescent="0.3"/>
  <cols>
    <col min="1" max="1" width="16.21875" bestFit="1" customWidth="1"/>
    <col min="2" max="2" width="27.77734375" bestFit="1" customWidth="1"/>
    <col min="3" max="3" width="25.5546875" bestFit="1" customWidth="1"/>
    <col min="4" max="4" width="20.109375" bestFit="1" customWidth="1"/>
    <col min="5" max="5" width="19.33203125" bestFit="1" customWidth="1"/>
    <col min="6" max="6" width="102.77734375" bestFit="1" customWidth="1"/>
    <col min="7" max="7" width="8.77734375" bestFit="1" customWidth="1"/>
    <col min="8" max="8" width="56.88671875" bestFit="1" customWidth="1"/>
  </cols>
  <sheetData>
    <row r="1" spans="1:8" ht="28.8" x14ac:dyDescent="0.3">
      <c r="A1" s="78" t="s">
        <v>54</v>
      </c>
      <c r="B1" s="78" t="s">
        <v>28</v>
      </c>
      <c r="C1" s="78" t="s">
        <v>107</v>
      </c>
      <c r="D1" s="78" t="s">
        <v>27</v>
      </c>
      <c r="E1" s="79" t="s">
        <v>277</v>
      </c>
      <c r="F1" s="78" t="s">
        <v>26</v>
      </c>
      <c r="G1" s="80" t="s">
        <v>292</v>
      </c>
      <c r="H1" s="80" t="s">
        <v>268</v>
      </c>
    </row>
    <row r="2" spans="1:8" x14ac:dyDescent="0.3">
      <c r="A2" s="9" t="s">
        <v>42</v>
      </c>
      <c r="B2" s="10" t="s">
        <v>108</v>
      </c>
      <c r="C2" s="10" t="s">
        <v>108</v>
      </c>
      <c r="D2" s="1" t="s">
        <v>20</v>
      </c>
      <c r="E2" s="43" t="s">
        <v>19</v>
      </c>
      <c r="F2" s="1" t="s">
        <v>18</v>
      </c>
      <c r="G2" s="52" t="s">
        <v>293</v>
      </c>
      <c r="H2" s="22" t="s">
        <v>294</v>
      </c>
    </row>
    <row r="3" spans="1:8" x14ac:dyDescent="0.3">
      <c r="A3" s="9" t="s">
        <v>42</v>
      </c>
      <c r="B3" s="10" t="s">
        <v>183</v>
      </c>
      <c r="C3" s="10" t="s">
        <v>183</v>
      </c>
      <c r="D3" s="1" t="s">
        <v>20</v>
      </c>
      <c r="E3" s="43" t="s">
        <v>184</v>
      </c>
      <c r="F3" s="1" t="s">
        <v>185</v>
      </c>
      <c r="G3" s="52" t="s">
        <v>293</v>
      </c>
      <c r="H3" s="22" t="s">
        <v>294</v>
      </c>
    </row>
    <row r="4" spans="1:8" x14ac:dyDescent="0.3">
      <c r="A4" s="9" t="s">
        <v>42</v>
      </c>
      <c r="B4" s="10" t="s">
        <v>237</v>
      </c>
      <c r="C4" s="10" t="s">
        <v>237</v>
      </c>
      <c r="D4" s="1" t="s">
        <v>233</v>
      </c>
      <c r="E4" s="43" t="s">
        <v>234</v>
      </c>
      <c r="F4" s="1" t="s">
        <v>235</v>
      </c>
      <c r="G4" s="52" t="s">
        <v>300</v>
      </c>
      <c r="H4" s="52"/>
    </row>
    <row r="5" spans="1:8" x14ac:dyDescent="0.3">
      <c r="A5" s="9" t="s">
        <v>42</v>
      </c>
      <c r="B5" s="10" t="s">
        <v>157</v>
      </c>
      <c r="C5" s="10" t="s">
        <v>157</v>
      </c>
      <c r="D5" s="1" t="s">
        <v>20</v>
      </c>
      <c r="E5" s="43" t="s">
        <v>158</v>
      </c>
      <c r="F5" s="1" t="s">
        <v>159</v>
      </c>
      <c r="G5" s="52" t="s">
        <v>293</v>
      </c>
      <c r="H5" s="22" t="s">
        <v>294</v>
      </c>
    </row>
    <row r="6" spans="1:8" x14ac:dyDescent="0.3">
      <c r="A6" s="9" t="s">
        <v>42</v>
      </c>
      <c r="B6" s="10" t="s">
        <v>17</v>
      </c>
      <c r="C6" s="10" t="s">
        <v>17</v>
      </c>
      <c r="D6" s="1" t="s">
        <v>13</v>
      </c>
      <c r="E6" s="55">
        <v>402002934</v>
      </c>
      <c r="F6" s="1" t="s">
        <v>16</v>
      </c>
      <c r="G6" s="52" t="s">
        <v>293</v>
      </c>
      <c r="H6" s="22" t="s">
        <v>294</v>
      </c>
    </row>
    <row r="7" spans="1:8" x14ac:dyDescent="0.3">
      <c r="A7" s="9" t="s">
        <v>42</v>
      </c>
      <c r="B7" s="10" t="s">
        <v>236</v>
      </c>
      <c r="C7" s="10" t="s">
        <v>236</v>
      </c>
      <c r="D7" s="1" t="s">
        <v>13</v>
      </c>
      <c r="E7" s="55">
        <v>402015835</v>
      </c>
      <c r="F7" s="1" t="s">
        <v>238</v>
      </c>
      <c r="G7" s="52" t="s">
        <v>300</v>
      </c>
      <c r="H7" s="52"/>
    </row>
    <row r="8" spans="1:8" x14ac:dyDescent="0.3">
      <c r="A8" s="9" t="s">
        <v>42</v>
      </c>
      <c r="B8" s="10" t="s">
        <v>60</v>
      </c>
      <c r="C8" s="10" t="s">
        <v>109</v>
      </c>
      <c r="D8" s="1" t="s">
        <v>11</v>
      </c>
      <c r="E8" s="43" t="s">
        <v>67</v>
      </c>
      <c r="F8" s="76" t="s">
        <v>64</v>
      </c>
      <c r="G8" s="52" t="s">
        <v>293</v>
      </c>
      <c r="H8" s="22" t="s">
        <v>296</v>
      </c>
    </row>
    <row r="9" spans="1:8" x14ac:dyDescent="0.3">
      <c r="A9" s="9" t="s">
        <v>42</v>
      </c>
      <c r="B9" s="10" t="s">
        <v>61</v>
      </c>
      <c r="C9" s="10" t="s">
        <v>110</v>
      </c>
      <c r="D9" s="1" t="s">
        <v>11</v>
      </c>
      <c r="E9" s="43" t="s">
        <v>57</v>
      </c>
      <c r="F9" s="76" t="s">
        <v>58</v>
      </c>
      <c r="G9" s="52" t="s">
        <v>293</v>
      </c>
      <c r="H9" s="22" t="s">
        <v>296</v>
      </c>
    </row>
    <row r="10" spans="1:8" x14ac:dyDescent="0.3">
      <c r="A10" s="9" t="s">
        <v>42</v>
      </c>
      <c r="B10" s="10" t="s">
        <v>62</v>
      </c>
      <c r="C10" s="10" t="s">
        <v>111</v>
      </c>
      <c r="D10" s="1" t="s">
        <v>11</v>
      </c>
      <c r="E10" s="43" t="s">
        <v>68</v>
      </c>
      <c r="F10" s="76" t="s">
        <v>66</v>
      </c>
      <c r="G10" s="52" t="s">
        <v>300</v>
      </c>
      <c r="H10" s="52"/>
    </row>
    <row r="11" spans="1:8" x14ac:dyDescent="0.3">
      <c r="A11" s="9" t="s">
        <v>42</v>
      </c>
      <c r="B11" s="10" t="s">
        <v>104</v>
      </c>
      <c r="C11" s="10" t="s">
        <v>112</v>
      </c>
      <c r="D11" s="1" t="s">
        <v>11</v>
      </c>
      <c r="E11" s="43" t="s">
        <v>105</v>
      </c>
      <c r="F11" s="76" t="s">
        <v>106</v>
      </c>
      <c r="G11" s="52" t="s">
        <v>300</v>
      </c>
      <c r="H11" s="52"/>
    </row>
    <row r="12" spans="1:8" x14ac:dyDescent="0.3">
      <c r="A12" s="9" t="s">
        <v>42</v>
      </c>
      <c r="B12" s="10" t="s">
        <v>252</v>
      </c>
      <c r="C12" s="10" t="s">
        <v>253</v>
      </c>
      <c r="D12" s="1" t="s">
        <v>11</v>
      </c>
      <c r="E12" s="43" t="s">
        <v>255</v>
      </c>
      <c r="F12" s="76" t="s">
        <v>256</v>
      </c>
      <c r="G12" s="52" t="s">
        <v>300</v>
      </c>
      <c r="H12" s="52"/>
    </row>
    <row r="13" spans="1:8" x14ac:dyDescent="0.3">
      <c r="A13" s="9" t="s">
        <v>42</v>
      </c>
      <c r="B13" s="10" t="s">
        <v>259</v>
      </c>
      <c r="C13" s="10" t="s">
        <v>260</v>
      </c>
      <c r="D13" s="1" t="s">
        <v>11</v>
      </c>
      <c r="E13" s="43" t="s">
        <v>258</v>
      </c>
      <c r="F13" s="76" t="s">
        <v>261</v>
      </c>
      <c r="G13" s="52" t="s">
        <v>300</v>
      </c>
      <c r="H13" s="52"/>
    </row>
    <row r="14" spans="1:8" x14ac:dyDescent="0.3">
      <c r="A14" s="9" t="s">
        <v>42</v>
      </c>
      <c r="B14" s="10" t="s">
        <v>44</v>
      </c>
      <c r="C14" s="10" t="s">
        <v>113</v>
      </c>
      <c r="D14" s="1" t="s">
        <v>13</v>
      </c>
      <c r="E14" s="55">
        <v>402004482</v>
      </c>
      <c r="F14" s="76" t="s">
        <v>242</v>
      </c>
      <c r="G14" s="52" t="s">
        <v>293</v>
      </c>
      <c r="H14" s="22" t="s">
        <v>295</v>
      </c>
    </row>
    <row r="15" spans="1:8" x14ac:dyDescent="0.3">
      <c r="A15" s="9" t="s">
        <v>42</v>
      </c>
      <c r="B15" s="10" t="s">
        <v>43</v>
      </c>
      <c r="C15" s="10" t="s">
        <v>114</v>
      </c>
      <c r="D15" s="1" t="s">
        <v>13</v>
      </c>
      <c r="E15" s="55">
        <v>402006129</v>
      </c>
      <c r="F15" s="76" t="s">
        <v>15</v>
      </c>
      <c r="G15" s="52" t="s">
        <v>293</v>
      </c>
      <c r="H15" s="22" t="s">
        <v>295</v>
      </c>
    </row>
    <row r="16" spans="1:8" x14ac:dyDescent="0.3">
      <c r="A16" s="9" t="s">
        <v>42</v>
      </c>
      <c r="B16" s="10" t="s">
        <v>63</v>
      </c>
      <c r="C16" s="10" t="s">
        <v>115</v>
      </c>
      <c r="D16" s="1" t="s">
        <v>13</v>
      </c>
      <c r="E16" s="55">
        <v>402008559</v>
      </c>
      <c r="F16" s="76" t="s">
        <v>65</v>
      </c>
      <c r="G16" s="52" t="s">
        <v>300</v>
      </c>
      <c r="H16" s="52"/>
    </row>
    <row r="17" spans="1:8" x14ac:dyDescent="0.3">
      <c r="A17" s="9" t="s">
        <v>42</v>
      </c>
      <c r="B17" s="10" t="s">
        <v>254</v>
      </c>
      <c r="C17" s="10" t="s">
        <v>269</v>
      </c>
      <c r="D17" s="1" t="s">
        <v>13</v>
      </c>
      <c r="E17" s="55">
        <v>402316702</v>
      </c>
      <c r="F17" s="76" t="s">
        <v>257</v>
      </c>
      <c r="G17" s="52" t="s">
        <v>300</v>
      </c>
      <c r="H17" s="52"/>
    </row>
    <row r="18" spans="1:8" x14ac:dyDescent="0.3">
      <c r="A18" s="9" t="s">
        <v>287</v>
      </c>
      <c r="B18" s="33" t="s">
        <v>290</v>
      </c>
      <c r="C18" s="33" t="s">
        <v>290</v>
      </c>
      <c r="D18" s="1" t="s">
        <v>289</v>
      </c>
      <c r="E18" s="55" t="s">
        <v>288</v>
      </c>
      <c r="F18" s="76" t="s">
        <v>291</v>
      </c>
      <c r="G18" s="52" t="s">
        <v>300</v>
      </c>
      <c r="H18" s="52"/>
    </row>
    <row r="19" spans="1:8" x14ac:dyDescent="0.3">
      <c r="A19" s="9" t="s">
        <v>205</v>
      </c>
      <c r="B19" s="35" t="s">
        <v>207</v>
      </c>
      <c r="C19" s="35" t="s">
        <v>206</v>
      </c>
      <c r="D19" s="1" t="s">
        <v>11</v>
      </c>
      <c r="E19" s="43" t="s">
        <v>209</v>
      </c>
      <c r="F19" s="76" t="s">
        <v>208</v>
      </c>
      <c r="G19" s="52" t="s">
        <v>293</v>
      </c>
      <c r="H19" s="22" t="s">
        <v>301</v>
      </c>
    </row>
    <row r="20" spans="1:8" x14ac:dyDescent="0.3">
      <c r="A20" s="9" t="s">
        <v>45</v>
      </c>
      <c r="B20" s="12" t="s">
        <v>14</v>
      </c>
      <c r="C20" s="12" t="s">
        <v>14</v>
      </c>
      <c r="D20" s="1" t="s">
        <v>13</v>
      </c>
      <c r="E20" s="55">
        <v>409904609</v>
      </c>
      <c r="F20" s="1" t="s">
        <v>12</v>
      </c>
      <c r="G20" s="52" t="s">
        <v>300</v>
      </c>
      <c r="H20" s="52"/>
    </row>
    <row r="21" spans="1:8" x14ac:dyDescent="0.3">
      <c r="A21" s="9" t="s">
        <v>45</v>
      </c>
      <c r="B21" s="12" t="s">
        <v>46</v>
      </c>
      <c r="C21" s="12" t="s">
        <v>46</v>
      </c>
      <c r="D21" s="1" t="s">
        <v>55</v>
      </c>
      <c r="E21" s="43" t="s">
        <v>59</v>
      </c>
      <c r="F21" s="1" t="s">
        <v>56</v>
      </c>
      <c r="G21" s="52" t="s">
        <v>300</v>
      </c>
      <c r="H21" s="52"/>
    </row>
    <row r="22" spans="1:8" x14ac:dyDescent="0.3">
      <c r="A22" s="9" t="s">
        <v>45</v>
      </c>
      <c r="B22" s="12" t="s">
        <v>47</v>
      </c>
      <c r="C22" s="12" t="s">
        <v>47</v>
      </c>
      <c r="D22" s="1" t="s">
        <v>1</v>
      </c>
      <c r="E22" s="44" t="s">
        <v>1</v>
      </c>
      <c r="F22" s="1" t="s">
        <v>0</v>
      </c>
      <c r="G22" s="52" t="s">
        <v>300</v>
      </c>
      <c r="H22" s="52"/>
    </row>
    <row r="23" spans="1:8" x14ac:dyDescent="0.3">
      <c r="A23" s="9" t="s">
        <v>45</v>
      </c>
      <c r="B23" s="12" t="s">
        <v>48</v>
      </c>
      <c r="C23" s="12" t="s">
        <v>48</v>
      </c>
      <c r="D23" s="1" t="s">
        <v>1</v>
      </c>
      <c r="E23" s="44" t="s">
        <v>1</v>
      </c>
      <c r="F23" s="1" t="s">
        <v>0</v>
      </c>
      <c r="G23" s="52" t="s">
        <v>300</v>
      </c>
      <c r="H23" s="52"/>
    </row>
    <row r="24" spans="1:8" x14ac:dyDescent="0.3">
      <c r="A24" s="9" t="s">
        <v>49</v>
      </c>
      <c r="B24" s="13" t="s">
        <v>165</v>
      </c>
      <c r="C24" s="13" t="s">
        <v>264</v>
      </c>
      <c r="D24" s="1" t="s">
        <v>11</v>
      </c>
      <c r="E24" s="44" t="s">
        <v>265</v>
      </c>
      <c r="F24" s="1" t="s">
        <v>279</v>
      </c>
      <c r="G24" s="52" t="s">
        <v>300</v>
      </c>
      <c r="H24" s="52"/>
    </row>
    <row r="25" spans="1:8" x14ac:dyDescent="0.3">
      <c r="A25" s="9" t="s">
        <v>49</v>
      </c>
      <c r="B25" s="13" t="s">
        <v>165</v>
      </c>
      <c r="C25" s="13" t="s">
        <v>171</v>
      </c>
      <c r="D25" s="1" t="s">
        <v>11</v>
      </c>
      <c r="E25" s="44" t="s">
        <v>174</v>
      </c>
      <c r="F25" s="1" t="s">
        <v>210</v>
      </c>
      <c r="G25" s="52" t="s">
        <v>300</v>
      </c>
      <c r="H25" s="52"/>
    </row>
    <row r="26" spans="1:8" x14ac:dyDescent="0.3">
      <c r="A26" s="9" t="s">
        <v>49</v>
      </c>
      <c r="B26" s="13" t="s">
        <v>166</v>
      </c>
      <c r="C26" s="13" t="s">
        <v>116</v>
      </c>
      <c r="D26" s="1" t="s">
        <v>11</v>
      </c>
      <c r="E26" s="43" t="s">
        <v>10</v>
      </c>
      <c r="F26" s="1" t="s">
        <v>9</v>
      </c>
      <c r="G26" s="52" t="s">
        <v>300</v>
      </c>
      <c r="H26" s="52"/>
    </row>
    <row r="27" spans="1:8" x14ac:dyDescent="0.3">
      <c r="A27" s="9" t="s">
        <v>49</v>
      </c>
      <c r="B27" s="13" t="s">
        <v>167</v>
      </c>
      <c r="C27" s="13" t="s">
        <v>167</v>
      </c>
      <c r="D27" s="1" t="s">
        <v>11</v>
      </c>
      <c r="E27" s="43" t="s">
        <v>172</v>
      </c>
      <c r="F27" s="1" t="s">
        <v>173</v>
      </c>
      <c r="G27" s="52" t="s">
        <v>293</v>
      </c>
      <c r="H27" s="22" t="s">
        <v>296</v>
      </c>
    </row>
    <row r="28" spans="1:8" x14ac:dyDescent="0.3">
      <c r="A28" s="9" t="s">
        <v>49</v>
      </c>
      <c r="B28" s="13" t="s">
        <v>8</v>
      </c>
      <c r="C28" s="13" t="s">
        <v>8</v>
      </c>
      <c r="D28" s="1" t="s">
        <v>5</v>
      </c>
      <c r="E28" s="43" t="s">
        <v>243</v>
      </c>
      <c r="F28" s="1" t="s">
        <v>7</v>
      </c>
      <c r="G28" s="52" t="s">
        <v>300</v>
      </c>
      <c r="H28" s="52"/>
    </row>
    <row r="29" spans="1:8" x14ac:dyDescent="0.3">
      <c r="A29" s="9" t="s">
        <v>49</v>
      </c>
      <c r="B29" s="13" t="s">
        <v>6</v>
      </c>
      <c r="C29" s="13" t="s">
        <v>6</v>
      </c>
      <c r="D29" s="1" t="s">
        <v>5</v>
      </c>
      <c r="E29" s="43" t="s">
        <v>4</v>
      </c>
      <c r="F29" s="1" t="s">
        <v>3</v>
      </c>
      <c r="G29" s="52" t="s">
        <v>300</v>
      </c>
      <c r="H29" s="52"/>
    </row>
    <row r="30" spans="1:8" x14ac:dyDescent="0.3">
      <c r="A30" s="9" t="s">
        <v>49</v>
      </c>
      <c r="B30" s="13" t="s">
        <v>2</v>
      </c>
      <c r="C30" s="13" t="s">
        <v>2</v>
      </c>
      <c r="D30" s="1" t="s">
        <v>5</v>
      </c>
      <c r="E30" s="44" t="s">
        <v>121</v>
      </c>
      <c r="F30" s="1" t="s">
        <v>122</v>
      </c>
      <c r="G30" s="52" t="s">
        <v>300</v>
      </c>
      <c r="H30" s="52"/>
    </row>
    <row r="31" spans="1:8" x14ac:dyDescent="0.3">
      <c r="A31" s="9" t="s">
        <v>49</v>
      </c>
      <c r="B31" s="13" t="s">
        <v>280</v>
      </c>
      <c r="C31" s="13" t="s">
        <v>280</v>
      </c>
      <c r="D31" s="1" t="s">
        <v>5</v>
      </c>
      <c r="E31" s="44" t="s">
        <v>266</v>
      </c>
      <c r="F31" s="1" t="s">
        <v>267</v>
      </c>
      <c r="G31" s="52" t="s">
        <v>300</v>
      </c>
      <c r="H31" s="52"/>
    </row>
    <row r="32" spans="1:8" x14ac:dyDescent="0.3">
      <c r="A32" s="9" t="s">
        <v>49</v>
      </c>
      <c r="B32" s="13" t="s">
        <v>281</v>
      </c>
      <c r="C32" s="13" t="s">
        <v>281</v>
      </c>
      <c r="D32" s="1" t="s">
        <v>5</v>
      </c>
      <c r="E32" s="44" t="s">
        <v>283</v>
      </c>
      <c r="F32" s="1" t="s">
        <v>284</v>
      </c>
      <c r="G32" s="52" t="s">
        <v>300</v>
      </c>
      <c r="H32" s="52"/>
    </row>
    <row r="33" spans="1:8" x14ac:dyDescent="0.3">
      <c r="A33" s="9" t="s">
        <v>49</v>
      </c>
      <c r="B33" s="13" t="s">
        <v>282</v>
      </c>
      <c r="C33" s="13" t="s">
        <v>282</v>
      </c>
      <c r="D33" s="1" t="s">
        <v>5</v>
      </c>
      <c r="E33" s="44" t="s">
        <v>285</v>
      </c>
      <c r="F33" s="1" t="s">
        <v>286</v>
      </c>
      <c r="G33" s="52" t="s">
        <v>300</v>
      </c>
      <c r="H33" s="52"/>
    </row>
    <row r="34" spans="1:8" x14ac:dyDescent="0.3">
      <c r="A34" s="9" t="s">
        <v>50</v>
      </c>
      <c r="B34" s="14" t="s">
        <v>175</v>
      </c>
      <c r="C34" s="14" t="s">
        <v>175</v>
      </c>
      <c r="D34" s="1" t="s">
        <v>11</v>
      </c>
      <c r="E34" s="44" t="s">
        <v>178</v>
      </c>
      <c r="F34" s="1" t="s">
        <v>179</v>
      </c>
      <c r="G34" s="52" t="s">
        <v>300</v>
      </c>
      <c r="H34" s="52"/>
    </row>
    <row r="35" spans="1:8" x14ac:dyDescent="0.3">
      <c r="A35" s="9" t="s">
        <v>50</v>
      </c>
      <c r="B35" s="14" t="s">
        <v>176</v>
      </c>
      <c r="C35" s="14" t="s">
        <v>176</v>
      </c>
      <c r="D35" s="1" t="s">
        <v>11</v>
      </c>
      <c r="E35" s="44" t="s">
        <v>181</v>
      </c>
      <c r="F35" s="1" t="s">
        <v>180</v>
      </c>
      <c r="G35" s="52" t="s">
        <v>293</v>
      </c>
      <c r="H35" s="22" t="s">
        <v>301</v>
      </c>
    </row>
    <row r="36" spans="1:8" x14ac:dyDescent="0.3">
      <c r="A36" s="9" t="s">
        <v>50</v>
      </c>
      <c r="B36" s="14" t="s">
        <v>177</v>
      </c>
      <c r="C36" s="14" t="s">
        <v>177</v>
      </c>
      <c r="D36" s="1" t="s">
        <v>11</v>
      </c>
      <c r="E36" s="44" t="s">
        <v>124</v>
      </c>
      <c r="F36" s="1" t="s">
        <v>123</v>
      </c>
      <c r="G36" s="52" t="s">
        <v>293</v>
      </c>
      <c r="H36" s="22" t="s">
        <v>301</v>
      </c>
    </row>
    <row r="37" spans="1:8" x14ac:dyDescent="0.3">
      <c r="A37" s="9" t="s">
        <v>50</v>
      </c>
      <c r="B37" s="14" t="s">
        <v>199</v>
      </c>
      <c r="C37" s="14" t="s">
        <v>199</v>
      </c>
      <c r="D37" s="1" t="s">
        <v>70</v>
      </c>
      <c r="E37" s="44" t="s">
        <v>73</v>
      </c>
      <c r="F37" s="1" t="s">
        <v>72</v>
      </c>
      <c r="G37" s="52" t="s">
        <v>300</v>
      </c>
      <c r="H37" s="52"/>
    </row>
    <row r="38" spans="1:8" x14ac:dyDescent="0.3">
      <c r="A38" s="9" t="s">
        <v>50</v>
      </c>
      <c r="B38" s="14" t="s">
        <v>200</v>
      </c>
      <c r="C38" s="14" t="s">
        <v>200</v>
      </c>
      <c r="D38" s="1" t="s">
        <v>70</v>
      </c>
      <c r="E38" s="44" t="s">
        <v>202</v>
      </c>
      <c r="F38" s="1" t="s">
        <v>203</v>
      </c>
      <c r="G38" s="52" t="s">
        <v>300</v>
      </c>
      <c r="H38" s="52"/>
    </row>
    <row r="39" spans="1:8" x14ac:dyDescent="0.3">
      <c r="A39" s="9" t="s">
        <v>50</v>
      </c>
      <c r="B39" s="14" t="s">
        <v>80</v>
      </c>
      <c r="C39" s="14" t="s">
        <v>272</v>
      </c>
      <c r="D39" s="1" t="s">
        <v>70</v>
      </c>
      <c r="E39" s="44" t="s">
        <v>69</v>
      </c>
      <c r="F39" s="1" t="s">
        <v>71</v>
      </c>
      <c r="G39" s="52" t="s">
        <v>300</v>
      </c>
      <c r="H39" s="52"/>
    </row>
    <row r="40" spans="1:8" x14ac:dyDescent="0.3">
      <c r="A40" s="9" t="s">
        <v>50</v>
      </c>
      <c r="B40" s="14" t="s">
        <v>82</v>
      </c>
      <c r="C40" s="14" t="s">
        <v>198</v>
      </c>
      <c r="D40" s="1" t="s">
        <v>70</v>
      </c>
      <c r="E40" s="44" t="s">
        <v>96</v>
      </c>
      <c r="F40" s="1" t="s">
        <v>97</v>
      </c>
      <c r="G40" s="52" t="s">
        <v>300</v>
      </c>
      <c r="H40" s="52"/>
    </row>
    <row r="41" spans="1:8" x14ac:dyDescent="0.3">
      <c r="A41" s="9" t="s">
        <v>50</v>
      </c>
      <c r="B41" s="14" t="s">
        <v>81</v>
      </c>
      <c r="C41" s="14" t="s">
        <v>190</v>
      </c>
      <c r="D41" s="1" t="s">
        <v>70</v>
      </c>
      <c r="E41" s="44" t="s">
        <v>77</v>
      </c>
      <c r="F41" s="1" t="s">
        <v>76</v>
      </c>
      <c r="G41" s="52" t="s">
        <v>300</v>
      </c>
      <c r="H41" s="52"/>
    </row>
    <row r="42" spans="1:8" x14ac:dyDescent="0.3">
      <c r="A42" s="9" t="s">
        <v>50</v>
      </c>
      <c r="B42" s="14" t="s">
        <v>92</v>
      </c>
      <c r="C42" s="14" t="s">
        <v>191</v>
      </c>
      <c r="D42" s="1" t="s">
        <v>70</v>
      </c>
      <c r="E42" s="44" t="s">
        <v>103</v>
      </c>
      <c r="F42" s="1" t="s">
        <v>102</v>
      </c>
      <c r="G42" s="52" t="s">
        <v>300</v>
      </c>
      <c r="H42" s="52"/>
    </row>
    <row r="43" spans="1:8" x14ac:dyDescent="0.3">
      <c r="A43" s="9" t="s">
        <v>50</v>
      </c>
      <c r="B43" s="14" t="s">
        <v>196</v>
      </c>
      <c r="C43" s="14" t="s">
        <v>192</v>
      </c>
      <c r="D43" s="1" t="s">
        <v>1</v>
      </c>
      <c r="E43" s="44" t="s">
        <v>1</v>
      </c>
      <c r="F43" s="1" t="s">
        <v>0</v>
      </c>
      <c r="G43" s="52" t="s">
        <v>300</v>
      </c>
      <c r="H43" s="52"/>
    </row>
    <row r="44" spans="1:8" x14ac:dyDescent="0.3">
      <c r="A44" s="9" t="s">
        <v>50</v>
      </c>
      <c r="B44" s="14" t="s">
        <v>197</v>
      </c>
      <c r="C44" s="14" t="s">
        <v>193</v>
      </c>
      <c r="D44" s="1" t="s">
        <v>70</v>
      </c>
      <c r="E44" s="44" t="s">
        <v>194</v>
      </c>
      <c r="F44" s="1" t="s">
        <v>195</v>
      </c>
      <c r="G44" s="52" t="s">
        <v>300</v>
      </c>
      <c r="H44" s="52"/>
    </row>
    <row r="45" spans="1:8" x14ac:dyDescent="0.3">
      <c r="A45" s="9" t="s">
        <v>50</v>
      </c>
      <c r="B45" s="14" t="s">
        <v>51</v>
      </c>
      <c r="C45" s="14" t="s">
        <v>117</v>
      </c>
      <c r="D45" s="1" t="s">
        <v>70</v>
      </c>
      <c r="E45" s="44" t="s">
        <v>75</v>
      </c>
      <c r="F45" s="1" t="s">
        <v>74</v>
      </c>
      <c r="G45" s="52" t="s">
        <v>300</v>
      </c>
      <c r="H45" s="52"/>
    </row>
    <row r="46" spans="1:8" x14ac:dyDescent="0.3">
      <c r="A46" s="9" t="s">
        <v>50</v>
      </c>
      <c r="B46" s="14" t="s">
        <v>83</v>
      </c>
      <c r="C46" s="14" t="s">
        <v>83</v>
      </c>
      <c r="D46" s="1" t="s">
        <v>70</v>
      </c>
      <c r="E46" s="44" t="s">
        <v>98</v>
      </c>
      <c r="F46" s="1" t="s">
        <v>99</v>
      </c>
      <c r="G46" s="52" t="s">
        <v>300</v>
      </c>
      <c r="H46" s="52"/>
    </row>
    <row r="47" spans="1:8" x14ac:dyDescent="0.3">
      <c r="A47" s="9" t="s">
        <v>50</v>
      </c>
      <c r="B47" s="14" t="s">
        <v>52</v>
      </c>
      <c r="C47" s="14" t="s">
        <v>118</v>
      </c>
      <c r="D47" s="1" t="s">
        <v>70</v>
      </c>
      <c r="E47" s="44" t="s">
        <v>79</v>
      </c>
      <c r="F47" s="1" t="s">
        <v>78</v>
      </c>
      <c r="G47" s="52" t="s">
        <v>300</v>
      </c>
      <c r="H47" s="52"/>
    </row>
    <row r="48" spans="1:8" x14ac:dyDescent="0.3">
      <c r="A48" s="9" t="s">
        <v>84</v>
      </c>
      <c r="B48" s="27" t="s">
        <v>85</v>
      </c>
      <c r="C48" s="27" t="s">
        <v>85</v>
      </c>
      <c r="D48" s="1" t="s">
        <v>1</v>
      </c>
      <c r="E48" s="44" t="s">
        <v>1</v>
      </c>
      <c r="F48" s="1" t="s">
        <v>0</v>
      </c>
      <c r="G48" s="52" t="s">
        <v>300</v>
      </c>
      <c r="H48" s="52"/>
    </row>
    <row r="49" spans="1:8" x14ac:dyDescent="0.3">
      <c r="A49" s="9" t="s">
        <v>84</v>
      </c>
      <c r="B49" s="27" t="s">
        <v>93</v>
      </c>
      <c r="C49" s="27" t="s">
        <v>93</v>
      </c>
      <c r="D49" s="1" t="s">
        <v>1</v>
      </c>
      <c r="E49" s="44" t="s">
        <v>1</v>
      </c>
      <c r="F49" s="1" t="s">
        <v>0</v>
      </c>
      <c r="G49" s="52" t="s">
        <v>300</v>
      </c>
      <c r="H49" s="52"/>
    </row>
    <row r="50" spans="1:8" x14ac:dyDescent="0.3">
      <c r="A50" s="9" t="s">
        <v>84</v>
      </c>
      <c r="B50" s="27" t="s">
        <v>94</v>
      </c>
      <c r="C50" s="27" t="s">
        <v>94</v>
      </c>
      <c r="D50" s="1" t="s">
        <v>1</v>
      </c>
      <c r="E50" s="44" t="s">
        <v>1</v>
      </c>
      <c r="F50" s="1" t="s">
        <v>0</v>
      </c>
      <c r="G50" s="52" t="s">
        <v>300</v>
      </c>
      <c r="H50" s="52"/>
    </row>
    <row r="51" spans="1:8" x14ac:dyDescent="0.3">
      <c r="A51" s="9" t="s">
        <v>84</v>
      </c>
      <c r="B51" s="27" t="s">
        <v>86</v>
      </c>
      <c r="C51" s="27" t="s">
        <v>86</v>
      </c>
      <c r="D51" s="1" t="s">
        <v>1</v>
      </c>
      <c r="E51" s="44" t="s">
        <v>1</v>
      </c>
      <c r="F51" s="1" t="s">
        <v>0</v>
      </c>
      <c r="G51" s="52" t="s">
        <v>300</v>
      </c>
      <c r="H51" s="52"/>
    </row>
    <row r="52" spans="1:8" x14ac:dyDescent="0.3">
      <c r="A52" s="9" t="s">
        <v>84</v>
      </c>
      <c r="B52" s="27" t="s">
        <v>87</v>
      </c>
      <c r="C52" s="27" t="s">
        <v>87</v>
      </c>
      <c r="D52" s="1" t="s">
        <v>1</v>
      </c>
      <c r="E52" s="44" t="s">
        <v>1</v>
      </c>
      <c r="F52" s="1" t="s">
        <v>0</v>
      </c>
      <c r="G52" s="52" t="s">
        <v>300</v>
      </c>
      <c r="H52" s="52"/>
    </row>
    <row r="53" spans="1:8" x14ac:dyDescent="0.3">
      <c r="A53" s="9" t="s">
        <v>84</v>
      </c>
      <c r="B53" s="27" t="s">
        <v>88</v>
      </c>
      <c r="C53" s="27" t="s">
        <v>88</v>
      </c>
      <c r="D53" s="1" t="s">
        <v>1</v>
      </c>
      <c r="E53" s="44" t="s">
        <v>1</v>
      </c>
      <c r="F53" s="1" t="s">
        <v>0</v>
      </c>
      <c r="G53" s="52" t="s">
        <v>300</v>
      </c>
      <c r="H53" s="52"/>
    </row>
    <row r="54" spans="1:8" x14ac:dyDescent="0.3">
      <c r="A54" s="9" t="s">
        <v>84</v>
      </c>
      <c r="B54" s="27" t="s">
        <v>89</v>
      </c>
      <c r="C54" s="27" t="s">
        <v>89</v>
      </c>
      <c r="D54" s="1" t="s">
        <v>1</v>
      </c>
      <c r="E54" s="44" t="s">
        <v>1</v>
      </c>
      <c r="F54" s="1" t="s">
        <v>0</v>
      </c>
      <c r="G54" s="52" t="s">
        <v>300</v>
      </c>
      <c r="H54" s="52"/>
    </row>
    <row r="55" spans="1:8" x14ac:dyDescent="0.3">
      <c r="A55" s="9" t="s">
        <v>84</v>
      </c>
      <c r="B55" s="27" t="s">
        <v>90</v>
      </c>
      <c r="C55" s="27" t="s">
        <v>90</v>
      </c>
      <c r="D55" s="1" t="s">
        <v>1</v>
      </c>
      <c r="E55" s="44" t="s">
        <v>1</v>
      </c>
      <c r="F55" s="1" t="s">
        <v>0</v>
      </c>
      <c r="G55" s="52" t="s">
        <v>300</v>
      </c>
      <c r="H55" s="52"/>
    </row>
    <row r="56" spans="1:8" x14ac:dyDescent="0.3">
      <c r="A56" s="9" t="s">
        <v>84</v>
      </c>
      <c r="B56" s="27" t="s">
        <v>91</v>
      </c>
      <c r="C56" s="27" t="s">
        <v>91</v>
      </c>
      <c r="D56" s="1" t="s">
        <v>1</v>
      </c>
      <c r="E56" s="44" t="s">
        <v>1</v>
      </c>
      <c r="F56" s="1" t="s">
        <v>0</v>
      </c>
      <c r="G56" s="52" t="s">
        <v>300</v>
      </c>
      <c r="H56" s="52"/>
    </row>
    <row r="57" spans="1:8" x14ac:dyDescent="0.3">
      <c r="A57" s="9" t="s">
        <v>84</v>
      </c>
      <c r="B57" s="27" t="s">
        <v>95</v>
      </c>
      <c r="C57" s="27" t="s">
        <v>95</v>
      </c>
      <c r="D57" s="1" t="s">
        <v>1</v>
      </c>
      <c r="E57" s="44" t="s">
        <v>1</v>
      </c>
      <c r="F57" s="1" t="s">
        <v>0</v>
      </c>
      <c r="G57" s="52" t="s">
        <v>300</v>
      </c>
      <c r="H57" s="52"/>
    </row>
    <row r="58" spans="1:8" x14ac:dyDescent="0.3">
      <c r="A58" s="9" t="s">
        <v>53</v>
      </c>
      <c r="B58" s="28" t="s">
        <v>182</v>
      </c>
      <c r="C58" s="28" t="s">
        <v>119</v>
      </c>
      <c r="D58" s="1" t="s">
        <v>11</v>
      </c>
      <c r="E58" s="44" t="s">
        <v>276</v>
      </c>
      <c r="F58" s="1" t="s">
        <v>30</v>
      </c>
      <c r="G58" s="52" t="s">
        <v>293</v>
      </c>
      <c r="H58" s="22" t="s">
        <v>296</v>
      </c>
    </row>
    <row r="59" spans="1:8" x14ac:dyDescent="0.3">
      <c r="A59" s="9" t="s">
        <v>53</v>
      </c>
      <c r="B59" s="28" t="s">
        <v>125</v>
      </c>
      <c r="C59" s="28" t="s">
        <v>201</v>
      </c>
      <c r="D59" s="1" t="s">
        <v>11</v>
      </c>
      <c r="E59" s="44" t="s">
        <v>100</v>
      </c>
      <c r="F59" s="1" t="s">
        <v>101</v>
      </c>
      <c r="G59" s="52" t="s">
        <v>293</v>
      </c>
      <c r="H59" s="22" t="s">
        <v>296</v>
      </c>
    </row>
  </sheetData>
  <autoFilter ref="A1:H59" xr:uid="{A511B8CF-9301-4BCD-AD25-FB5F9B0EFA9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a20ef3-1fbc-405c-afa7-515068935a66">
      <Terms xmlns="http://schemas.microsoft.com/office/infopath/2007/PartnerControls"/>
    </lcf76f155ced4ddcb4097134ff3c332f>
    <TaxCatchAll xmlns="19a73785-e5af-4f39-a513-2f49b24a1c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FB1C2E5932341A57F0E6374122B92" ma:contentTypeVersion="12" ma:contentTypeDescription="Create a new document." ma:contentTypeScope="" ma:versionID="5357fa2b24190a2fc0040a04c78e2643">
  <xsd:schema xmlns:xsd="http://www.w3.org/2001/XMLSchema" xmlns:xs="http://www.w3.org/2001/XMLSchema" xmlns:p="http://schemas.microsoft.com/office/2006/metadata/properties" xmlns:ns2="fba20ef3-1fbc-405c-afa7-515068935a66" xmlns:ns3="19a73785-e5af-4f39-a513-2f49b24a1cd0" targetNamespace="http://schemas.microsoft.com/office/2006/metadata/properties" ma:root="true" ma:fieldsID="9b77fd0aac5469d3229bfd8e666b26c1" ns2:_="" ns3:_="">
    <xsd:import namespace="fba20ef3-1fbc-405c-afa7-515068935a66"/>
    <xsd:import namespace="19a73785-e5af-4f39-a513-2f49b24a1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20ef3-1fbc-405c-afa7-515068935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14736f-a3b9-40ab-95fc-a78cbb49b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785-e5af-4f39-a513-2f49b24a1c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c8e3d6-2350-42cc-bf74-34bad1d7766f}" ma:internalName="TaxCatchAll" ma:showField="CatchAllData" ma:web="19a73785-e5af-4f39-a513-2f49b24a1c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61B09D-8ED6-42F9-8855-6EA7865C4CF4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ba20ef3-1fbc-405c-afa7-515068935a66"/>
    <ds:schemaRef ds:uri="19a73785-e5af-4f39-a513-2f49b24a1cd0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6D9F05-73A4-4893-90C1-C402668E37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9DDF4-BB18-47D4-9B38-B654305D6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20ef3-1fbc-405c-afa7-515068935a66"/>
    <ds:schemaRef ds:uri="19a73785-e5af-4f39-a513-2f49b24a1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AE Dispose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Neff</dc:creator>
  <cp:lastModifiedBy>Gewinner, George</cp:lastModifiedBy>
  <cp:lastPrinted>2024-07-19T16:26:46Z</cp:lastPrinted>
  <dcterms:created xsi:type="dcterms:W3CDTF">2021-01-15T15:57:40Z</dcterms:created>
  <dcterms:modified xsi:type="dcterms:W3CDTF">2026-01-22T19:17:02Z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2022-10-14T16:30:02Z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4a854702-aff1-4b0e-adb7-ed882dcd343e</vt:lpwstr>
  </property>
  <property fmtid="{D5CDD505-2E9C-101B-9397-08002B2CF9AE}" pid="8" name="MSIP_Label_d210e4fd-1ff5-4324-97e9-6e0860215bae_ContentBits">
    <vt:lpwstr>0</vt:lpwstr>
  </property>
  <property fmtid="{D5CDD505-2E9C-101B-9397-08002B2CF9AE}" pid="9" name="ContentTypeId">
    <vt:lpwstr>0x010100E21FB1C2E5932341A57F0E6374122B92</vt:lpwstr>
  </property>
  <property fmtid="{D5CDD505-2E9C-101B-9397-08002B2CF9AE}" pid="10" name="MediaServiceImageTags">
    <vt:lpwstr/>
  </property>
</Properties>
</file>